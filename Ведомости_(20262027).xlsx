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D:\Документы\Документы по ГУАП\"/>
    </mc:Choice>
  </mc:AlternateContent>
  <xr:revisionPtr revIDLastSave="0" documentId="13_ncr:1_{8D346E9C-8DC7-48F8-9BC6-C7B53ABE4C65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4614" sheetId="38" r:id="rId1"/>
    <sheet name="4615" sheetId="63" r:id="rId2"/>
    <sheet name="4616" sheetId="64" r:id="rId3"/>
    <sheet name="4617" sheetId="65" r:id="rId4"/>
    <sheet name="4618" sheetId="6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6" i="66" l="1"/>
  <c r="AB26" i="66"/>
  <c r="AB4" i="66"/>
  <c r="AM25" i="65"/>
  <c r="AM24" i="65"/>
  <c r="AM23" i="65"/>
  <c r="AM22" i="65"/>
  <c r="AM21" i="65"/>
  <c r="AM20" i="65"/>
  <c r="AM19" i="65"/>
  <c r="AM18" i="65"/>
  <c r="AM17" i="65"/>
  <c r="AM16" i="65"/>
  <c r="AM15" i="65"/>
  <c r="AM14" i="65"/>
  <c r="AM13" i="65"/>
  <c r="AM12" i="65"/>
  <c r="AM11" i="65"/>
  <c r="AM10" i="65"/>
  <c r="AM9" i="65"/>
  <c r="AM8" i="65"/>
  <c r="AM7" i="65"/>
  <c r="AM6" i="65"/>
  <c r="AM5" i="65"/>
  <c r="AM4" i="65"/>
  <c r="AM3" i="65"/>
  <c r="AM28" i="63"/>
  <c r="AN28" i="63" s="1"/>
  <c r="AM27" i="63"/>
  <c r="AM26" i="63"/>
  <c r="AM25" i="63"/>
  <c r="AM24" i="63"/>
  <c r="AM23" i="63"/>
  <c r="AM22" i="63"/>
  <c r="AM21" i="63"/>
  <c r="AM20" i="63"/>
  <c r="AM19" i="63"/>
  <c r="AM18" i="63"/>
  <c r="AM17" i="63"/>
  <c r="AM16" i="63"/>
  <c r="AM15" i="63"/>
  <c r="AM14" i="63"/>
  <c r="AM13" i="63"/>
  <c r="AM12" i="63"/>
  <c r="AM11" i="63"/>
  <c r="AM10" i="63"/>
  <c r="AM9" i="63"/>
  <c r="AM8" i="63"/>
  <c r="AM7" i="63"/>
  <c r="AM6" i="63"/>
  <c r="AM5" i="63"/>
  <c r="AM4" i="63"/>
  <c r="AM3" i="63"/>
  <c r="AL27" i="38"/>
  <c r="AM27" i="38" s="1"/>
  <c r="AL26" i="38"/>
  <c r="AL25" i="38"/>
  <c r="AL24" i="38"/>
  <c r="AL23" i="38"/>
  <c r="AL22" i="38"/>
  <c r="AL21" i="38"/>
  <c r="AL20" i="38"/>
  <c r="AL19" i="38"/>
  <c r="AL18" i="38"/>
  <c r="AL17" i="38"/>
  <c r="AL16" i="38"/>
  <c r="AL15" i="38"/>
  <c r="AL14" i="38"/>
  <c r="AL13" i="38"/>
  <c r="AL12" i="38"/>
  <c r="AL10" i="38"/>
  <c r="AL9" i="38"/>
  <c r="AL8" i="38"/>
  <c r="AL7" i="38"/>
  <c r="AL6" i="38"/>
  <c r="AL5" i="38"/>
  <c r="AL4" i="38"/>
  <c r="AL3" i="38"/>
  <c r="AM27" i="64"/>
  <c r="AM26" i="64"/>
  <c r="AM25" i="64"/>
  <c r="AM24" i="64"/>
  <c r="AM23" i="64"/>
  <c r="AM22" i="64"/>
  <c r="AM21" i="64"/>
  <c r="AN21" i="64" s="1"/>
  <c r="AM20" i="64"/>
  <c r="AN20" i="64" s="1"/>
  <c r="AM19" i="64"/>
  <c r="AM18" i="64"/>
  <c r="AM17" i="64"/>
  <c r="AM16" i="64"/>
  <c r="AM15" i="64"/>
  <c r="AN15" i="64" s="1"/>
  <c r="AM14" i="64"/>
  <c r="AN14" i="64" s="1"/>
  <c r="AM13" i="64"/>
  <c r="AN13" i="64" s="1"/>
  <c r="AM12" i="64"/>
  <c r="AN12" i="64" s="1"/>
  <c r="AM11" i="64"/>
  <c r="AM10" i="64"/>
  <c r="AM9" i="64"/>
  <c r="AM8" i="64"/>
  <c r="AM7" i="64"/>
  <c r="AM6" i="64"/>
  <c r="AM5" i="64"/>
  <c r="AM4" i="64"/>
  <c r="AM3" i="64"/>
  <c r="AB27" i="66"/>
  <c r="AC4" i="66" s="1"/>
  <c r="AB24" i="66"/>
  <c r="AB23" i="66"/>
  <c r="AB22" i="66"/>
  <c r="AB21" i="66"/>
  <c r="AB20" i="66"/>
  <c r="AB19" i="66"/>
  <c r="AB18" i="66"/>
  <c r="AB17" i="66"/>
  <c r="AB16" i="66"/>
  <c r="AB15" i="66"/>
  <c r="AB14" i="66"/>
  <c r="AB13" i="66"/>
  <c r="AB12" i="66"/>
  <c r="AB11" i="66"/>
  <c r="AB10" i="66"/>
  <c r="AB9" i="66"/>
  <c r="AB8" i="66"/>
  <c r="AB7" i="66"/>
  <c r="AB6" i="66"/>
  <c r="AB5" i="66"/>
  <c r="AB3" i="66"/>
  <c r="AN23" i="64" l="1"/>
  <c r="AN24" i="64"/>
  <c r="AN25" i="64"/>
  <c r="AN26" i="64"/>
  <c r="AN11" i="64"/>
  <c r="AN9" i="64"/>
  <c r="AN8" i="64"/>
  <c r="AN4" i="64"/>
  <c r="AN16" i="64"/>
  <c r="AN5" i="64"/>
  <c r="AN17" i="64"/>
  <c r="AN6" i="64"/>
  <c r="AN18" i="64"/>
  <c r="AN19" i="64"/>
  <c r="AM24" i="38"/>
  <c r="AM23" i="38"/>
  <c r="AM22" i="38"/>
  <c r="AM21" i="38"/>
  <c r="AM20" i="38"/>
  <c r="AM19" i="38"/>
  <c r="AM18" i="38"/>
  <c r="AM17" i="38"/>
  <c r="AM16" i="38"/>
  <c r="AM15" i="38"/>
  <c r="AM14" i="38"/>
  <c r="AM13" i="38"/>
  <c r="AM12" i="38"/>
  <c r="AM10" i="38"/>
  <c r="AM8" i="38"/>
  <c r="AM7" i="38"/>
  <c r="AM6" i="38"/>
  <c r="AM5" i="38"/>
  <c r="AM4" i="38"/>
  <c r="AM3" i="38"/>
  <c r="AM9" i="38"/>
  <c r="AM26" i="38"/>
  <c r="AM25" i="38"/>
  <c r="AC19" i="66"/>
  <c r="AC27" i="66"/>
  <c r="AC24" i="66"/>
  <c r="AC23" i="66"/>
  <c r="AC22" i="66"/>
  <c r="AC21" i="66"/>
  <c r="AC20" i="66"/>
  <c r="AC18" i="66"/>
  <c r="AC17" i="66"/>
  <c r="AC16" i="66"/>
  <c r="AC14" i="66"/>
  <c r="AC13" i="66"/>
  <c r="AC12" i="66"/>
  <c r="AC11" i="66"/>
  <c r="AC10" i="66"/>
  <c r="AC9" i="66"/>
  <c r="AC8" i="66"/>
  <c r="AC7" i="66"/>
  <c r="AC6" i="66"/>
  <c r="AC5" i="66"/>
  <c r="AC15" i="66"/>
  <c r="AC3" i="66"/>
  <c r="AN27" i="64"/>
  <c r="AN22" i="64"/>
  <c r="AN10" i="64"/>
  <c r="AN7" i="64"/>
  <c r="AN3" i="64"/>
  <c r="AN27" i="63"/>
  <c r="AN26" i="63"/>
  <c r="AN25" i="63"/>
  <c r="AN24" i="63"/>
  <c r="AN23" i="63"/>
  <c r="AN22" i="63"/>
  <c r="AN21" i="63"/>
  <c r="AN20" i="63"/>
  <c r="AN19" i="63"/>
  <c r="AN18" i="63"/>
  <c r="AN17" i="63"/>
  <c r="AN16" i="63"/>
  <c r="AN15" i="63"/>
  <c r="AN14" i="63"/>
  <c r="AN13" i="63"/>
  <c r="AN12" i="63"/>
  <c r="AN11" i="63"/>
  <c r="AN10" i="63"/>
  <c r="AN9" i="63"/>
  <c r="AN8" i="63"/>
  <c r="AN7" i="63"/>
  <c r="AN6" i="63"/>
  <c r="AN5" i="63"/>
  <c r="AN4" i="63"/>
  <c r="AN3" i="63"/>
  <c r="AN19" i="65"/>
  <c r="AN11" i="65"/>
  <c r="AN7" i="65"/>
  <c r="AN15" i="65"/>
  <c r="AN5" i="65"/>
  <c r="AN20" i="65"/>
  <c r="AN21" i="65"/>
  <c r="AN22" i="65"/>
  <c r="AN23" i="65"/>
  <c r="AN24" i="65"/>
  <c r="AN18" i="65"/>
  <c r="AN16" i="65"/>
  <c r="AN14" i="65"/>
  <c r="AN13" i="65"/>
  <c r="AN12" i="65"/>
  <c r="AN10" i="65"/>
  <c r="AN9" i="65"/>
  <c r="AN8" i="65"/>
  <c r="AN4" i="65"/>
  <c r="AN3" i="65"/>
  <c r="AN17" i="65"/>
  <c r="AN6" i="65"/>
  <c r="AN25" i="65"/>
</calcChain>
</file>

<file path=xl/sharedStrings.xml><?xml version="1.0" encoding="utf-8"?>
<sst xmlns="http://schemas.openxmlformats.org/spreadsheetml/2006/main" count="337" uniqueCount="186">
  <si>
    <t>№</t>
  </si>
  <si>
    <t>Максимально возможный балл:</t>
  </si>
  <si>
    <t>ИТОГОВЫЕ БАЛЛЫ</t>
  </si>
  <si>
    <t>ПРЕДВАРИТЕЛЬНАЯ ОЦЕНКА</t>
  </si>
  <si>
    <t>ИТОГОВАЯ ОЦЕНКА</t>
  </si>
  <si>
    <t>СЕНТЯБРЬ</t>
  </si>
  <si>
    <t>ОКТЯБРЬ</t>
  </si>
  <si>
    <t>НОЯБРЬ</t>
  </si>
  <si>
    <t>ДЕКАБРЬ</t>
  </si>
  <si>
    <t>Доклад</t>
  </si>
  <si>
    <t>%</t>
  </si>
  <si>
    <t>Конспект</t>
  </si>
  <si>
    <t>Студентам, набравшим по дисциплине в течение семестра необходимое количество баллов в соответствии с установленной в вузе шкалой, в отдельных случаях по решению преподавателя могут быть выставлены зачеты и итоговые экзаменационные оценки «удовлетворительно» и «хорошо» без дополнительного опроса во время сессии (автоматом).
Оценку «отлично» студент может получить на экзамене или дифференцированном зачете, а также в исключительных случаях без дополнительного опроса (автоматом), если проявлены:
— высокий уровень знаний по дисциплине (количество набранных баллов в семестре достигает максимального значения);
— повышенная активность при ее изучении (выступления с докладами, выполнение дополнительных заданий, участие в научной деятельности и т. д.)
— или если студент имеет профессиональный опыт в данной области. &lt;…&gt;
В университете действует следующая шкала пересчета общей суммы рейтинговых баллов в оценки по четырехбалльной системе:
— менее 55 — «неудовлетворительно» (2);
— от 55 до 69 — «удовлетворительно» (3);
— от 70 до 84 — «хорошо» (4);
— от 85 до 100 — «отлично» (5).
Поскольку заранее определить максимальное количество баллов невозможно, то четырехбалльная оценочная шкала определяется долями полученных баллов от максимального показателя по факту на конец семестра, исходя из принципов рейтинговой системы:
— менее 55% — «неудовлетворительно» (2);
— от 55% до 69% — «удовлетворительно» (3);
— от 70% до 84% — «хорошо» (4);
— от 85% до 100% — «отлично» (5).
На лекционных занятиях обучающиеся могут получить максимально по 6 баллов:
— 2 (два) — за посещение занятия;
— 4 (четыре) — за тест .
В группах, в которых лектор проводит практические занятия, баллы, полученные на лекциях, суммируются с баллами за практическую работу и оцениваются по вышеизложенным принципам.
В остальных группах принимаются в расчет рекомендации автоматов преподавателей, проводивших практические занятия, при условии получения не менее 70% баллов на лекциях.
Обучающийся лишается права на автомат в следующих случаях:
— получения менее 70% баллов на лекциях;
— фальсификации тестов;
— систематического нарушения правил внутреннего распорядка.</t>
  </si>
  <si>
    <t>ФАМИЛИЯ, ИМЯ, ОТЧЕСТВО
(4614)</t>
  </si>
  <si>
    <t>Абишов Байрам Мушфигович</t>
  </si>
  <si>
    <t>Алиферов Вадим Андреевич</t>
  </si>
  <si>
    <t>Амбарцумян Саргис Эдгарович</t>
  </si>
  <si>
    <t>Ануфриев Михаил Романович</t>
  </si>
  <si>
    <t>Арустамян Даниил Робертович</t>
  </si>
  <si>
    <t>Ахмерова Виктория Сергеевна</t>
  </si>
  <si>
    <t>Балашов Андрей Дмитриевич</t>
  </si>
  <si>
    <t>Батов Никита Сергеевич</t>
  </si>
  <si>
    <t>Беккер Екатерина Юрьевна</t>
  </si>
  <si>
    <t>Блюм Таисия Артемовна</t>
  </si>
  <si>
    <t>Ваганов Георгий Андреевич</t>
  </si>
  <si>
    <t>Валов Вадим Юрьевич</t>
  </si>
  <si>
    <t>Васильев Михаил Дмитриевич</t>
  </si>
  <si>
    <t>Вдовина Варвара Дмитриевна</t>
  </si>
  <si>
    <t>Вдовиченко Софья Владимировна</t>
  </si>
  <si>
    <t>Великий Иван Андреевич</t>
  </si>
  <si>
    <t>Вокуев Тимофей Павлович</t>
  </si>
  <si>
    <t>Володин Андрей Алексеевич</t>
  </si>
  <si>
    <t>Вонс Дарья Владимировна</t>
  </si>
  <si>
    <t>Гаваза Матвей Андреевич</t>
  </si>
  <si>
    <t>Гнусов Максим Евгеньевич</t>
  </si>
  <si>
    <t>Голиков Александр Дмитриевич</t>
  </si>
  <si>
    <t>Голубев Роман Дмитриевич</t>
  </si>
  <si>
    <t>Гончаров Андрей Алексеевич</t>
  </si>
  <si>
    <t>Горожанов Сергей Анатольевич</t>
  </si>
  <si>
    <t>Горшкова Анна Евгеньевна</t>
  </si>
  <si>
    <t>Давыдов Максим Денисович</t>
  </si>
  <si>
    <t>Даничев Анатолий Евгеньевич</t>
  </si>
  <si>
    <t>Денисенко Екатерина Дмитриевна</t>
  </si>
  <si>
    <t>Дерябин Владислав Дмитриевич</t>
  </si>
  <si>
    <t>Доброславин Алексей Андреевич</t>
  </si>
  <si>
    <t>Дьяков Леонид Сергеевич</t>
  </si>
  <si>
    <t>Евдокимов Никита Иванович</t>
  </si>
  <si>
    <t>Евдокимов Ярослав Валерьевич</t>
  </si>
  <si>
    <t>Еремеева Софья Сергеевна</t>
  </si>
  <si>
    <t>Ерофеев Илья Витальевич</t>
  </si>
  <si>
    <t>Ершов Иван Романович</t>
  </si>
  <si>
    <t>Желтова Арина Андреевна</t>
  </si>
  <si>
    <t>Загиров Кирилл Александрович</t>
  </si>
  <si>
    <t>Зайцев Кирилл Александрович</t>
  </si>
  <si>
    <t>Золотарев Дмитрий Алексеевич</t>
  </si>
  <si>
    <t>Иванов Дмитрий Валерьевич</t>
  </si>
  <si>
    <t>Исраелян Давид Артурович</t>
  </si>
  <si>
    <t>Калибаева Снежана Нурлановна</t>
  </si>
  <si>
    <t>Карпов Игорь Дмитриевич</t>
  </si>
  <si>
    <t>Кашапов Рустам Маратович</t>
  </si>
  <si>
    <t>Кирпа Анастасия Николаевна</t>
  </si>
  <si>
    <t>Кислов Кирилл Евгеньевич</t>
  </si>
  <si>
    <t>Кокшаров Владислав Андреевич</t>
  </si>
  <si>
    <t>Кондракова Александра Максимовна</t>
  </si>
  <si>
    <t>Коновалов Семён Александрович</t>
  </si>
  <si>
    <t>Кошечкин Ярослав Васильевич</t>
  </si>
  <si>
    <t>Кудринский Матвей Дмитриевич</t>
  </si>
  <si>
    <t>Купчинов Илья Викторович</t>
  </si>
  <si>
    <t>Лавров Дмитрий Сергеевич</t>
  </si>
  <si>
    <t>Лапкина Елена Викторовна</t>
  </si>
  <si>
    <t>Луценко Мария Вадимовна</t>
  </si>
  <si>
    <t>Малыгин Артём Степанович</t>
  </si>
  <si>
    <t>Маховицкий Владимир Евгеньевич</t>
  </si>
  <si>
    <t>Машковский Максим Андреевич</t>
  </si>
  <si>
    <t>Медведева Устинья Михайловна</t>
  </si>
  <si>
    <t>Мингазова Элина Ринатовна</t>
  </si>
  <si>
    <t>Моисеев Александр Дмитриевич</t>
  </si>
  <si>
    <t>Молев Данил Николаевич</t>
  </si>
  <si>
    <t>Морозов Никита Евгеньевич</t>
  </si>
  <si>
    <t>Назарьева Виктория Юрьевна</t>
  </si>
  <si>
    <t>Николаев Александр Дмитриевич</t>
  </si>
  <si>
    <t>Николаенко Данил Алексеевич</t>
  </si>
  <si>
    <t>Новикова Полина Игоревна</t>
  </si>
  <si>
    <t>Новожилов Александр Михайлович</t>
  </si>
  <si>
    <t>Новокрещенова Полина Дмитриевна</t>
  </si>
  <si>
    <t>Огурцов Ярослав Евгеньевич</t>
  </si>
  <si>
    <t>Одинцов Денис Алексеевич</t>
  </si>
  <si>
    <t>Оникий Сергей Александрович</t>
  </si>
  <si>
    <t>Перевозник Андрей Сергеевич</t>
  </si>
  <si>
    <t>Перепечаева Елена Николаевна</t>
  </si>
  <si>
    <t>Петренко Андрей Александрович</t>
  </si>
  <si>
    <t>Петров Степан Сергеевич</t>
  </si>
  <si>
    <t>Пихтелев Константин Алексеевич</t>
  </si>
  <si>
    <t>Попов Егор Андреевич</t>
  </si>
  <si>
    <t>Пугасеев Дмитрий Сергеевич</t>
  </si>
  <si>
    <t>Райлян Андрей</t>
  </si>
  <si>
    <t>Ребяга Александра Владимировна</t>
  </si>
  <si>
    <t>Резанов Максим Юрьевич</t>
  </si>
  <si>
    <t>Родионова Кира Константиновна</t>
  </si>
  <si>
    <t>Рубанович Ксения Денисовна</t>
  </si>
  <si>
    <t>Рябченко Матвей Леонидович</t>
  </si>
  <si>
    <t>Савинская Василиса Васильевна</t>
  </si>
  <si>
    <t>Сафиуллин Артём Рафаилевич</t>
  </si>
  <si>
    <t>Смирнов Иван Константинович</t>
  </si>
  <si>
    <t>Смирнов Артемий Михайлович</t>
  </si>
  <si>
    <t>Соколова Дарья Алексеевна</t>
  </si>
  <si>
    <t>Соловьева Даниэла Алексеевна</t>
  </si>
  <si>
    <t>Соседов Илья Андреевич</t>
  </si>
  <si>
    <t>Спиридонов Максим Дмитриевич</t>
  </si>
  <si>
    <t>Стрионов Артем Андреевич</t>
  </si>
  <si>
    <t>Сумзина Елизавета Алексеевна</t>
  </si>
  <si>
    <t>Сушинский Максим Александрович</t>
  </si>
  <si>
    <t>Тарадин Даниил Александрович</t>
  </si>
  <si>
    <t>Тимофеев Егор Андриянович</t>
  </si>
  <si>
    <t>Тихонов Егор Андреевич</t>
  </si>
  <si>
    <t>Трепелкова Екатерина Сергеевна</t>
  </si>
  <si>
    <t>Троценко Александр Сергеевич</t>
  </si>
  <si>
    <t>Фадеев Артём Арсентьевич</t>
  </si>
  <si>
    <t>Фатхутдинов Карим Арсенович</t>
  </si>
  <si>
    <t>Филипченко Любовь Александровна</t>
  </si>
  <si>
    <t>Футорянов Сергей Денисович</t>
  </si>
  <si>
    <t>Хазов Алексей Игоревич</t>
  </si>
  <si>
    <t>Хамлов Глеб Максимович</t>
  </si>
  <si>
    <t>Хлесткин Кирилл Павлович</t>
  </si>
  <si>
    <t>Хмелюк Алина Евгеньевна</t>
  </si>
  <si>
    <t>Хорошавин Георгий Дмитриевич</t>
  </si>
  <si>
    <t>Худенко Диана Алексеевна</t>
  </si>
  <si>
    <t>Чураков Лев Алексеевич</t>
  </si>
  <si>
    <t>Шакиров Марк Равилевич</t>
  </si>
  <si>
    <t>Штепин Богдан Валерьевич</t>
  </si>
  <si>
    <t>Шуканова Валерия Анатольевна</t>
  </si>
  <si>
    <t>Якшигулов Данил Наилевич</t>
  </si>
  <si>
    <t>ФАМИЛИЯ, ИМЯ, ОТЧЕСТВО
(4615)</t>
  </si>
  <si>
    <t>ФАМИЛИЯ, ИМЯ, ОТЧЕСТВО
(4616)</t>
  </si>
  <si>
    <t>ФАМИЛИЯ, ИМЯ, ОТЧЕСТВО
(4617)</t>
  </si>
  <si>
    <t>ФАМИЛИЯ, ИМЯ, ОТЧЕСТВО
(4618)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</si>
  <si>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</si>
  <si>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</si>
  <si>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</si>
  <si>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</si>
  <si>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</si>
  <si>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</si>
  <si>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</si>
  <si>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</si>
  <si>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</si>
  <si>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</si>
  <si>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</si>
  <si>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</si>
  <si>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</si>
  <si>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</si>
  <si>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</si>
  <si>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</si>
  <si>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</si>
  <si>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</si>
  <si>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</si>
  <si>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</si>
  <si>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</si>
  <si>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</si>
  <si>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</si>
  <si>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</si>
  <si>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</si>
  <si>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Марина Владимировна Малькова</t>
  </si>
  <si>
    <t>bajram2312@mail.ru</t>
  </si>
  <si>
    <t>1.09: присутствие (2)</t>
  </si>
  <si>
    <t>1.09: присутствие (2) + входной тест [20]</t>
  </si>
  <si>
    <t>15.09: присутствие (2), проверочный тест (10), кроссворд (20+[5])</t>
  </si>
  <si>
    <t>15.09: присутствие (2), проверочный тест (10), кроссворд (20+[5]) + входной тест [20]</t>
  </si>
  <si>
    <t>1.09: присутствие (2), проверочный тест (10) ) + входной тест [20]</t>
  </si>
  <si>
    <t>25.09: присутствие (2), проверочный тест (10), кроссворд (20+[5]) + входной тест [20]</t>
  </si>
  <si>
    <t>11.09: присутствие (2)</t>
  </si>
  <si>
    <t>29.09:</t>
  </si>
  <si>
    <t>присутствие (2), проверочный тест (10), пропуски в тексте (6) + дополнительные баллы [10]</t>
  </si>
  <si>
    <t>присутствие (2), проверочный тест (10) + дополнительные баллы [10]</t>
  </si>
  <si>
    <t>— фальсификация тестов (лишение права на зачет автоматом)</t>
  </si>
  <si>
    <t>не зачет</t>
  </si>
  <si>
    <t>на зачет</t>
  </si>
  <si>
    <t>18.09: присутствие (2), проверочный тест (10), кроссворд (20+[5])</t>
  </si>
  <si>
    <t>2.10:</t>
  </si>
  <si>
    <t>9.10: присутствие (2), проверочный тест (10)</t>
  </si>
  <si>
    <t>Новожилов Никита Алексеевич</t>
  </si>
  <si>
    <t>13.10:</t>
  </si>
  <si>
    <t>присутствие (2), проверочный тест (10), пропуски в тексте (10)]</t>
  </si>
  <si>
    <t>а</t>
  </si>
  <si>
    <t>присутствие (2), проверочный тест (10), ошибки в тексте (7) + дополнительные баллы [5]</t>
  </si>
  <si>
    <t>16.10:</t>
  </si>
  <si>
    <t>присутствие (2), проверочный тест (10)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</si>
</sst>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204"/>
      <scheme val="minor"/>
    </font>
    <font>
      <b/>
      <i/>
      <sz val="8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b/>
      <sz val="8"/>
      <color rgb="FFC00000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sz val="10"/>
      <color rgb="FF000000"/>
      <name val="Calibri"/>
      <scheme val="minor"/>
    </font>
    <font>
      <sz val="10"/>
      <color rgb="FF000000"/>
      <name val="Calibri"/>
      <family val="2"/>
      <charset val="204"/>
      <scheme val="minor"/>
    </font>
    <font>
      <sz val="11"/>
      <color rgb="FF000000"/>
      <name val="Calibri"/>
    </font>
    <font>
      <b/>
      <sz val="8"/>
      <color rgb="FFFF0000"/>
      <name val="Times New Roman"/>
      <family val="1"/>
      <charset val="204"/>
    </font>
    <font>
      <b/>
      <sz val="8"/>
      <color theme="4" tint="-0.249977111117893"/>
      <name val="Times New Roman"/>
      <family val="1"/>
      <charset val="204"/>
    </font>
    <font>
      <b/>
      <i/>
      <sz val="8"/>
      <color rgb="FFC00000"/>
      <name val="Times New Roman"/>
      <family val="1"/>
      <charset val="204"/>
    </font>
    <font>
      <sz val="8"/>
      <name val="Calibri"/>
      <family val="2"/>
      <charset val="204"/>
      <scheme val="minor"/>
    </font>
    <font>
      <b/>
      <sz val="8"/>
      <name val="Times New Roman"/>
      <family val="1"/>
      <charset val="204"/>
    </font>
    <font>
      <b/>
      <i/>
      <sz val="8"/>
      <name val="Times New Roman"/>
      <family val="1"/>
      <charset val="204"/>
    </font>
    <font>
      <sz val="8"/>
      <color rgb="FFFF0000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darkGrid">
        <fgColor rgb="FFC00000"/>
        <bgColor theme="9" tint="0.79989013336588644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7" fillId="0" borderId="0"/>
    <xf numFmtId="0" fontId="8" fillId="0" borderId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9" fontId="1" fillId="5" borderId="8" xfId="0" applyNumberFormat="1" applyFont="1" applyFill="1" applyBorder="1" applyAlignment="1">
      <alignment horizontal="center" vertical="center"/>
    </xf>
    <xf numFmtId="9" fontId="1" fillId="4" borderId="3" xfId="0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vertical="center"/>
    </xf>
    <xf numFmtId="0" fontId="2" fillId="7" borderId="8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2" fillId="0" borderId="12" xfId="0" applyFont="1" applyBorder="1" applyAlignment="1">
      <alignment horizontal="center" vertical="center"/>
    </xf>
    <xf numFmtId="0" fontId="14" fillId="3" borderId="7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14" xfId="0" applyFont="1" applyBorder="1" applyAlignment="1">
      <alignment horizontal="left" vertical="center"/>
    </xf>
    <xf numFmtId="0" fontId="2" fillId="8" borderId="8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2" fillId="9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4" borderId="7" xfId="0" applyFont="1" applyFill="1" applyBorder="1" applyAlignment="1">
      <alignment horizontal="left" vertical="center"/>
    </xf>
    <xf numFmtId="0" fontId="3" fillId="4" borderId="9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/>
    </xf>
    <xf numFmtId="0" fontId="3" fillId="4" borderId="13" xfId="0" applyFont="1" applyFill="1" applyBorder="1" applyAlignment="1">
      <alignment horizontal="left" vertical="center"/>
    </xf>
    <xf numFmtId="0" fontId="3" fillId="4" borderId="12" xfId="0" applyFont="1" applyFill="1" applyBorder="1" applyAlignment="1">
      <alignment horizontal="left" vertical="center"/>
    </xf>
    <xf numFmtId="0" fontId="1" fillId="0" borderId="12" xfId="0" applyFont="1" applyBorder="1" applyAlignment="1">
      <alignment horizontal="right" vertical="center"/>
    </xf>
    <xf numFmtId="0" fontId="15" fillId="7" borderId="8" xfId="0" applyFont="1" applyFill="1" applyBorder="1" applyAlignment="1">
      <alignment horizontal="center" vertical="center"/>
    </xf>
  </cellXfs>
  <cellStyles count="4">
    <cellStyle name="Обычный" xfId="0" builtinId="0"/>
    <cellStyle name="Обычный 2" xfId="1" xr:uid="{00000000-0005-0000-0000-000001000000}"/>
    <cellStyle name="Обычный 3" xfId="2" xr:uid="{00000000-0005-0000-0000-000002000000}"/>
    <cellStyle name="Обычный 4" xfId="3" xr:uid="{00000000-0005-0000-0000-000003000000}"/>
  </cellStyles>
  <dxfs count="0"/>
  <tableStyles count="0" defaultTableStyle="TableStyleMedium2" defaultPivotStyle="PivotStyleLight16"/>
  <colors>
    <mruColors>
      <color rgb="FFFF0066"/>
      <color rgb="FFEABC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ro.guap.ru/inside/profile/57358" TargetMode="External"/><Relationship Id="rId13" Type="http://schemas.openxmlformats.org/officeDocument/2006/relationships/hyperlink" Target="https://pro.guap.ru/inside/profile/59661" TargetMode="External"/><Relationship Id="rId18" Type="http://schemas.openxmlformats.org/officeDocument/2006/relationships/hyperlink" Target="https://pro.guap.ru/inside/profile/58066" TargetMode="External"/><Relationship Id="rId3" Type="http://schemas.openxmlformats.org/officeDocument/2006/relationships/hyperlink" Target="https://pro.guap.ru/inside/profile/57190" TargetMode="External"/><Relationship Id="rId21" Type="http://schemas.openxmlformats.org/officeDocument/2006/relationships/hyperlink" Target="https://pro.guap.ru/inside/profile/60256" TargetMode="External"/><Relationship Id="rId7" Type="http://schemas.openxmlformats.org/officeDocument/2006/relationships/hyperlink" Target="https://pro.guap.ru/inside/profile/56893" TargetMode="External"/><Relationship Id="rId12" Type="http://schemas.openxmlformats.org/officeDocument/2006/relationships/hyperlink" Target="https://pro.guap.ru/inside/profile/59600" TargetMode="External"/><Relationship Id="rId17" Type="http://schemas.openxmlformats.org/officeDocument/2006/relationships/hyperlink" Target="https://pro.guap.ru/inside/profile/59992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https://pro.guap.ru/inside/profile/57117" TargetMode="External"/><Relationship Id="rId16" Type="http://schemas.openxmlformats.org/officeDocument/2006/relationships/hyperlink" Target="https://pro.guap.ru/inside/profile/57956" TargetMode="External"/><Relationship Id="rId20" Type="http://schemas.openxmlformats.org/officeDocument/2006/relationships/hyperlink" Target="https://pro.guap.ru/inside/profile/58303" TargetMode="External"/><Relationship Id="rId1" Type="http://schemas.openxmlformats.org/officeDocument/2006/relationships/hyperlink" Target="https://pro.guap.ru/inside/profile/57081" TargetMode="External"/><Relationship Id="rId6" Type="http://schemas.openxmlformats.org/officeDocument/2006/relationships/hyperlink" Target="https://pro.guap.ru/inside/profile/57275" TargetMode="External"/><Relationship Id="rId11" Type="http://schemas.openxmlformats.org/officeDocument/2006/relationships/hyperlink" Target="https://pro.guap.ru/inside/profile/57555" TargetMode="External"/><Relationship Id="rId24" Type="http://schemas.openxmlformats.org/officeDocument/2006/relationships/hyperlink" Target="https://pro.guap.ru/inside/profile/58402" TargetMode="External"/><Relationship Id="rId5" Type="http://schemas.openxmlformats.org/officeDocument/2006/relationships/hyperlink" Target="https://pro.guap.ru/inside/profile/59351" TargetMode="External"/><Relationship Id="rId15" Type="http://schemas.openxmlformats.org/officeDocument/2006/relationships/hyperlink" Target="https://pro.guap.ru/inside/profile/57892" TargetMode="External"/><Relationship Id="rId23" Type="http://schemas.openxmlformats.org/officeDocument/2006/relationships/hyperlink" Target="https://pro.guap.ru/inside/profile/58382" TargetMode="External"/><Relationship Id="rId10" Type="http://schemas.openxmlformats.org/officeDocument/2006/relationships/hyperlink" Target="https://pro.guap.ru/inside/profile/57436" TargetMode="External"/><Relationship Id="rId19" Type="http://schemas.openxmlformats.org/officeDocument/2006/relationships/hyperlink" Target="https://pro.guap.ru/inside/profile/58102" TargetMode="External"/><Relationship Id="rId4" Type="http://schemas.openxmlformats.org/officeDocument/2006/relationships/hyperlink" Target="https://pro.guap.ru/inside/profile/57266" TargetMode="External"/><Relationship Id="rId9" Type="http://schemas.openxmlformats.org/officeDocument/2006/relationships/hyperlink" Target="https://pro.guap.ru/inside/profile/54150" TargetMode="External"/><Relationship Id="rId14" Type="http://schemas.openxmlformats.org/officeDocument/2006/relationships/hyperlink" Target="https://pro.guap.ru/inside/profile/57733" TargetMode="External"/><Relationship Id="rId22" Type="http://schemas.openxmlformats.org/officeDocument/2006/relationships/hyperlink" Target="https://pro.guap.ru/inside/profile/60273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pro.guap.ru/inside/profile/57401" TargetMode="External"/><Relationship Id="rId13" Type="http://schemas.openxmlformats.org/officeDocument/2006/relationships/hyperlink" Target="https://pro.guap.ru/inside/profile/57956" TargetMode="External"/><Relationship Id="rId18" Type="http://schemas.openxmlformats.org/officeDocument/2006/relationships/hyperlink" Target="https://pro.guap.ru/inside/profile/56955" TargetMode="External"/><Relationship Id="rId26" Type="http://schemas.openxmlformats.org/officeDocument/2006/relationships/hyperlink" Target="mailto:bajram2312@mail.ru" TargetMode="External"/><Relationship Id="rId3" Type="http://schemas.openxmlformats.org/officeDocument/2006/relationships/hyperlink" Target="https://pro.guap.ru/inside/profile/57158" TargetMode="External"/><Relationship Id="rId21" Type="http://schemas.openxmlformats.org/officeDocument/2006/relationships/hyperlink" Target="https://pro.guap.ru/inside/profile/58403" TargetMode="External"/><Relationship Id="rId7" Type="http://schemas.openxmlformats.org/officeDocument/2006/relationships/hyperlink" Target="https://pro.guap.ru/inside/profile/57355" TargetMode="External"/><Relationship Id="rId12" Type="http://schemas.openxmlformats.org/officeDocument/2006/relationships/hyperlink" Target="https://pro.guap.ru/inside/profile/57948" TargetMode="External"/><Relationship Id="rId17" Type="http://schemas.openxmlformats.org/officeDocument/2006/relationships/hyperlink" Target="https://pro.guap.ru/inside/profile/58095" TargetMode="External"/><Relationship Id="rId25" Type="http://schemas.openxmlformats.org/officeDocument/2006/relationships/hyperlink" Target="https://pro.guap.ru/inside/profile/58222" TargetMode="External"/><Relationship Id="rId2" Type="http://schemas.openxmlformats.org/officeDocument/2006/relationships/hyperlink" Target="https://pro.guap.ru/inside/profile/57108" TargetMode="External"/><Relationship Id="rId16" Type="http://schemas.openxmlformats.org/officeDocument/2006/relationships/hyperlink" Target="https://pro.guap.ru/inside/profile/59988" TargetMode="External"/><Relationship Id="rId20" Type="http://schemas.openxmlformats.org/officeDocument/2006/relationships/hyperlink" Target="https://pro.guap.ru/inside/profile/58331" TargetMode="External"/><Relationship Id="rId1" Type="http://schemas.openxmlformats.org/officeDocument/2006/relationships/hyperlink" Target="https://pro.guap.ru/inside/profile/57052" TargetMode="External"/><Relationship Id="rId6" Type="http://schemas.openxmlformats.org/officeDocument/2006/relationships/hyperlink" Target="https://pro.guap.ru/inside/profile/56774" TargetMode="External"/><Relationship Id="rId11" Type="http://schemas.openxmlformats.org/officeDocument/2006/relationships/hyperlink" Target="https://pro.guap.ru/inside/profile/57545" TargetMode="External"/><Relationship Id="rId24" Type="http://schemas.openxmlformats.org/officeDocument/2006/relationships/hyperlink" Target="https://pro.guap.ru/inside/profile/58132" TargetMode="External"/><Relationship Id="rId5" Type="http://schemas.openxmlformats.org/officeDocument/2006/relationships/hyperlink" Target="https://pro.guap.ru/inside/profile/57273" TargetMode="External"/><Relationship Id="rId15" Type="http://schemas.openxmlformats.org/officeDocument/2006/relationships/hyperlink" Target="https://pro.guap.ru/inside/profile/42140" TargetMode="External"/><Relationship Id="rId23" Type="http://schemas.openxmlformats.org/officeDocument/2006/relationships/hyperlink" Target="https://pro.guap.ru/inside/profile/57751" TargetMode="External"/><Relationship Id="rId10" Type="http://schemas.openxmlformats.org/officeDocument/2006/relationships/hyperlink" Target="https://pro.guap.ru/inside/profile/56906" TargetMode="External"/><Relationship Id="rId19" Type="http://schemas.openxmlformats.org/officeDocument/2006/relationships/hyperlink" Target="https://pro.guap.ru/inside/profile/58274" TargetMode="External"/><Relationship Id="rId4" Type="http://schemas.openxmlformats.org/officeDocument/2006/relationships/hyperlink" Target="https://pro.guap.ru/inside/profile/57248" TargetMode="External"/><Relationship Id="rId9" Type="http://schemas.openxmlformats.org/officeDocument/2006/relationships/hyperlink" Target="https://pro.guap.ru/inside/profile/57502" TargetMode="External"/><Relationship Id="rId14" Type="http://schemas.openxmlformats.org/officeDocument/2006/relationships/hyperlink" Target="https://pro.guap.ru/inside/profile/57968" TargetMode="External"/><Relationship Id="rId22" Type="http://schemas.openxmlformats.org/officeDocument/2006/relationships/hyperlink" Target="https://pro.guap.ru/inside/profile/58499" TargetMode="External"/><Relationship Id="rId27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pro.guap.ru/inside/profile/57522" TargetMode="External"/><Relationship Id="rId13" Type="http://schemas.openxmlformats.org/officeDocument/2006/relationships/hyperlink" Target="https://pro.guap.ru/inside/profile/57817" TargetMode="External"/><Relationship Id="rId18" Type="http://schemas.openxmlformats.org/officeDocument/2006/relationships/hyperlink" Target="https://pro.guap.ru/inside/profile/58042" TargetMode="External"/><Relationship Id="rId3" Type="http://schemas.openxmlformats.org/officeDocument/2006/relationships/hyperlink" Target="https://pro.guap.ru/inside/profile/56775" TargetMode="External"/><Relationship Id="rId21" Type="http://schemas.openxmlformats.org/officeDocument/2006/relationships/hyperlink" Target="https://pro.guap.ru/inside/profile/58244" TargetMode="External"/><Relationship Id="rId7" Type="http://schemas.openxmlformats.org/officeDocument/2006/relationships/hyperlink" Target="https://pro.guap.ru/inside/profile/56980" TargetMode="External"/><Relationship Id="rId12" Type="http://schemas.openxmlformats.org/officeDocument/2006/relationships/hyperlink" Target="https://pro.guap.ru/inside/profile/57685" TargetMode="External"/><Relationship Id="rId17" Type="http://schemas.openxmlformats.org/officeDocument/2006/relationships/hyperlink" Target="https://pro.guap.ru/inside/profile/57955" TargetMode="External"/><Relationship Id="rId2" Type="http://schemas.openxmlformats.org/officeDocument/2006/relationships/hyperlink" Target="https://pro.guap.ru/inside/profile/42198" TargetMode="External"/><Relationship Id="rId16" Type="http://schemas.openxmlformats.org/officeDocument/2006/relationships/hyperlink" Target="https://pro.guap.ru/inside/profile/57903" TargetMode="External"/><Relationship Id="rId20" Type="http://schemas.openxmlformats.org/officeDocument/2006/relationships/hyperlink" Target="https://pro.guap.ru/inside/profile/42326" TargetMode="External"/><Relationship Id="rId1" Type="http://schemas.openxmlformats.org/officeDocument/2006/relationships/hyperlink" Target="https://pro.guap.ru/inside/profile/57251" TargetMode="External"/><Relationship Id="rId6" Type="http://schemas.openxmlformats.org/officeDocument/2006/relationships/hyperlink" Target="https://pro.guap.ru/inside/profile/57469" TargetMode="External"/><Relationship Id="rId11" Type="http://schemas.openxmlformats.org/officeDocument/2006/relationships/hyperlink" Target="https://pro.guap.ru/inside/profile/57639" TargetMode="External"/><Relationship Id="rId24" Type="http://schemas.openxmlformats.org/officeDocument/2006/relationships/hyperlink" Target="https://pro.guap.ru/inside/profile/56973" TargetMode="External"/><Relationship Id="rId5" Type="http://schemas.openxmlformats.org/officeDocument/2006/relationships/hyperlink" Target="https://pro.guap.ru/inside/profile/57407" TargetMode="External"/><Relationship Id="rId15" Type="http://schemas.openxmlformats.org/officeDocument/2006/relationships/hyperlink" Target="https://pro.guap.ru/inside/profile/59840" TargetMode="External"/><Relationship Id="rId23" Type="http://schemas.openxmlformats.org/officeDocument/2006/relationships/hyperlink" Target="https://pro.guap.ru/inside/profile/58500" TargetMode="External"/><Relationship Id="rId10" Type="http://schemas.openxmlformats.org/officeDocument/2006/relationships/hyperlink" Target="https://pro.guap.ru/inside/profile/57603" TargetMode="External"/><Relationship Id="rId19" Type="http://schemas.openxmlformats.org/officeDocument/2006/relationships/hyperlink" Target="https://pro.guap.ru/inside/profile/58109" TargetMode="External"/><Relationship Id="rId4" Type="http://schemas.openxmlformats.org/officeDocument/2006/relationships/hyperlink" Target="https://pro.guap.ru/inside/profile/56852" TargetMode="External"/><Relationship Id="rId9" Type="http://schemas.openxmlformats.org/officeDocument/2006/relationships/hyperlink" Target="https://pro.guap.ru/inside/profile/57581" TargetMode="External"/><Relationship Id="rId14" Type="http://schemas.openxmlformats.org/officeDocument/2006/relationships/hyperlink" Target="https://pro.guap.ru/inside/profile/57851" TargetMode="External"/><Relationship Id="rId22" Type="http://schemas.openxmlformats.org/officeDocument/2006/relationships/hyperlink" Target="https://pro.guap.ru/inside/profile/58414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pro.guap.ru/inside/profile/57477" TargetMode="External"/><Relationship Id="rId13" Type="http://schemas.openxmlformats.org/officeDocument/2006/relationships/hyperlink" Target="https://pro.guap.ru/inside/profile/57951" TargetMode="External"/><Relationship Id="rId18" Type="http://schemas.openxmlformats.org/officeDocument/2006/relationships/hyperlink" Target="https://pro.guap.ru/inside/profile/60155" TargetMode="External"/><Relationship Id="rId3" Type="http://schemas.openxmlformats.org/officeDocument/2006/relationships/hyperlink" Target="https://pro.guap.ru/inside/profile/59269" TargetMode="External"/><Relationship Id="rId21" Type="http://schemas.openxmlformats.org/officeDocument/2006/relationships/hyperlink" Target="https://pro.guap.ru/inside/profile/58384" TargetMode="External"/><Relationship Id="rId7" Type="http://schemas.openxmlformats.org/officeDocument/2006/relationships/hyperlink" Target="https://pro.guap.ru/inside/profile/57476" TargetMode="External"/><Relationship Id="rId12" Type="http://schemas.openxmlformats.org/officeDocument/2006/relationships/hyperlink" Target="https://pro.guap.ru/inside/profile/59902" TargetMode="External"/><Relationship Id="rId17" Type="http://schemas.openxmlformats.org/officeDocument/2006/relationships/hyperlink" Target="https://pro.guap.ru/inside/profile/58165" TargetMode="External"/><Relationship Id="rId2" Type="http://schemas.openxmlformats.org/officeDocument/2006/relationships/hyperlink" Target="https://pro.guap.ru/inside/profile/59252" TargetMode="External"/><Relationship Id="rId16" Type="http://schemas.openxmlformats.org/officeDocument/2006/relationships/hyperlink" Target="https://pro.guap.ru/inside/profile/57023" TargetMode="External"/><Relationship Id="rId20" Type="http://schemas.openxmlformats.org/officeDocument/2006/relationships/hyperlink" Target="https://pro.guap.ru/inside/profile/58322" TargetMode="External"/><Relationship Id="rId1" Type="http://schemas.openxmlformats.org/officeDocument/2006/relationships/hyperlink" Target="https://pro.guap.ru/inside/profile/57083" TargetMode="External"/><Relationship Id="rId6" Type="http://schemas.openxmlformats.org/officeDocument/2006/relationships/hyperlink" Target="https://pro.guap.ru/inside/profile/57461" TargetMode="External"/><Relationship Id="rId11" Type="http://schemas.openxmlformats.org/officeDocument/2006/relationships/hyperlink" Target="https://pro.guap.ru/inside/profile/56991" TargetMode="External"/><Relationship Id="rId5" Type="http://schemas.openxmlformats.org/officeDocument/2006/relationships/hyperlink" Target="https://pro.guap.ru/inside/profile/57460" TargetMode="External"/><Relationship Id="rId15" Type="http://schemas.openxmlformats.org/officeDocument/2006/relationships/hyperlink" Target="https://pro.guap.ru/inside/profile/56935" TargetMode="External"/><Relationship Id="rId10" Type="http://schemas.openxmlformats.org/officeDocument/2006/relationships/hyperlink" Target="https://pro.guap.ru/inside/profile/57712" TargetMode="External"/><Relationship Id="rId19" Type="http://schemas.openxmlformats.org/officeDocument/2006/relationships/hyperlink" Target="https://pro.guap.ru/inside/profile/60214" TargetMode="External"/><Relationship Id="rId4" Type="http://schemas.openxmlformats.org/officeDocument/2006/relationships/hyperlink" Target="https://pro.guap.ru/inside/profile/57347" TargetMode="External"/><Relationship Id="rId9" Type="http://schemas.openxmlformats.org/officeDocument/2006/relationships/hyperlink" Target="https://pro.guap.ru/inside/profile/57485" TargetMode="External"/><Relationship Id="rId14" Type="http://schemas.openxmlformats.org/officeDocument/2006/relationships/hyperlink" Target="https://pro.guap.ru/inside/profile/59950" TargetMode="External"/><Relationship Id="rId22" Type="http://schemas.openxmlformats.org/officeDocument/2006/relationships/hyperlink" Target="https://pro.guap.ru/inside/profile/58449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pro.guap.ru/inside/profile/57754" TargetMode="External"/><Relationship Id="rId13" Type="http://schemas.openxmlformats.org/officeDocument/2006/relationships/hyperlink" Target="https://pro.guap.ru/inside/profile/58016" TargetMode="External"/><Relationship Id="rId18" Type="http://schemas.openxmlformats.org/officeDocument/2006/relationships/hyperlink" Target="https://pro.guap.ru/inside/profile/58239" TargetMode="External"/><Relationship Id="rId3" Type="http://schemas.openxmlformats.org/officeDocument/2006/relationships/hyperlink" Target="https://pro.guap.ru/inside/profile/59428" TargetMode="External"/><Relationship Id="rId21" Type="http://schemas.openxmlformats.org/officeDocument/2006/relationships/hyperlink" Target="https://pro.guap.ru/inside/profile/56960" TargetMode="External"/><Relationship Id="rId7" Type="http://schemas.openxmlformats.org/officeDocument/2006/relationships/hyperlink" Target="https://pro.guap.ru/inside/profile/57628" TargetMode="External"/><Relationship Id="rId12" Type="http://schemas.openxmlformats.org/officeDocument/2006/relationships/hyperlink" Target="https://pro.guap.ru/inside/profile/59939" TargetMode="External"/><Relationship Id="rId17" Type="http://schemas.openxmlformats.org/officeDocument/2006/relationships/hyperlink" Target="https://pro.guap.ru/inside/profile/58236" TargetMode="External"/><Relationship Id="rId2" Type="http://schemas.openxmlformats.org/officeDocument/2006/relationships/hyperlink" Target="https://pro.guap.ru/inside/profile/57317" TargetMode="External"/><Relationship Id="rId16" Type="http://schemas.openxmlformats.org/officeDocument/2006/relationships/hyperlink" Target="https://pro.guap.ru/inside/profile/58232" TargetMode="External"/><Relationship Id="rId20" Type="http://schemas.openxmlformats.org/officeDocument/2006/relationships/hyperlink" Target="https://pro.guap.ru/inside/profile/58294" TargetMode="External"/><Relationship Id="rId1" Type="http://schemas.openxmlformats.org/officeDocument/2006/relationships/hyperlink" Target="https://pro.guap.ru/inside/profile/59225" TargetMode="External"/><Relationship Id="rId6" Type="http://schemas.openxmlformats.org/officeDocument/2006/relationships/hyperlink" Target="https://pro.guap.ru/inside/profile/59621" TargetMode="External"/><Relationship Id="rId11" Type="http://schemas.openxmlformats.org/officeDocument/2006/relationships/hyperlink" Target="https://pro.guap.ru/inside/profile/57898" TargetMode="External"/><Relationship Id="rId24" Type="http://schemas.openxmlformats.org/officeDocument/2006/relationships/hyperlink" Target="https://pro.guap.ru/inside/profile/58457" TargetMode="External"/><Relationship Id="rId5" Type="http://schemas.openxmlformats.org/officeDocument/2006/relationships/hyperlink" Target="https://pro.guap.ru/inside/profile/59479" TargetMode="External"/><Relationship Id="rId15" Type="http://schemas.openxmlformats.org/officeDocument/2006/relationships/hyperlink" Target="https://pro.guap.ru/inside/profile/56946" TargetMode="External"/><Relationship Id="rId23" Type="http://schemas.openxmlformats.org/officeDocument/2006/relationships/hyperlink" Target="https://pro.guap.ru/inside/profile/60297" TargetMode="External"/><Relationship Id="rId10" Type="http://schemas.openxmlformats.org/officeDocument/2006/relationships/hyperlink" Target="https://pro.guap.ru/inside/profile/57866" TargetMode="External"/><Relationship Id="rId19" Type="http://schemas.openxmlformats.org/officeDocument/2006/relationships/hyperlink" Target="https://pro.guap.ru/inside/profile/60196" TargetMode="External"/><Relationship Id="rId4" Type="http://schemas.openxmlformats.org/officeDocument/2006/relationships/hyperlink" Target="https://pro.guap.ru/inside/profile/57425" TargetMode="External"/><Relationship Id="rId9" Type="http://schemas.openxmlformats.org/officeDocument/2006/relationships/hyperlink" Target="https://pro.guap.ru/inside/profile/57846" TargetMode="External"/><Relationship Id="rId14" Type="http://schemas.openxmlformats.org/officeDocument/2006/relationships/hyperlink" Target="https://pro.guap.ru/inside/profile/58084" TargetMode="External"/><Relationship Id="rId22" Type="http://schemas.openxmlformats.org/officeDocument/2006/relationships/hyperlink" Target="https://pro.guap.ru/inside/profile/583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EAA7D-527C-4151-9BB0-BE3A1A3DF7C8}">
  <dimension ref="A1:AQ31"/>
  <sheetViews>
    <sheetView zoomScale="110" zoomScaleNormal="110" workbookViewId="0">
      <selection activeCell="O25" sqref="O25:O26"/>
    </sheetView>
  </sheetViews>
  <sheetFormatPr defaultColWidth="9.109375" defaultRowHeight="10.199999999999999" x14ac:dyDescent="0.3"/>
  <cols>
    <col min="1" max="1" width="3.33203125" style="16" customWidth="1"/>
    <col min="2" max="2" width="27.33203125" style="17" customWidth="1"/>
    <col min="3" max="35" width="3.77734375" style="1" customWidth="1"/>
    <col min="36" max="37" width="7.77734375" style="1" customWidth="1"/>
    <col min="38" max="38" width="15.77734375" style="16" customWidth="1"/>
    <col min="39" max="39" width="5.77734375" style="16" customWidth="1"/>
    <col min="40" max="43" width="16.77734375" style="16" customWidth="1"/>
    <col min="44" max="16384" width="9.109375" style="16"/>
  </cols>
  <sheetData>
    <row r="1" spans="1:42" s="1" customFormat="1" ht="13.5" customHeight="1" x14ac:dyDescent="0.3">
      <c r="A1" s="51" t="s">
        <v>0</v>
      </c>
      <c r="B1" s="53" t="s">
        <v>13</v>
      </c>
      <c r="C1" s="55" t="s">
        <v>5</v>
      </c>
      <c r="D1" s="56"/>
      <c r="E1" s="56"/>
      <c r="F1" s="56"/>
      <c r="G1" s="56"/>
      <c r="H1" s="56"/>
      <c r="I1" s="56"/>
      <c r="J1" s="57"/>
      <c r="K1" s="55" t="s">
        <v>6</v>
      </c>
      <c r="L1" s="56"/>
      <c r="M1" s="56"/>
      <c r="N1" s="56"/>
      <c r="O1" s="56"/>
      <c r="P1" s="56"/>
      <c r="Q1" s="56"/>
      <c r="R1" s="56"/>
      <c r="S1" s="57"/>
      <c r="T1" s="55" t="s">
        <v>7</v>
      </c>
      <c r="U1" s="56"/>
      <c r="V1" s="56"/>
      <c r="W1" s="56"/>
      <c r="X1" s="56"/>
      <c r="Y1" s="56"/>
      <c r="Z1" s="56"/>
      <c r="AA1" s="57"/>
      <c r="AB1" s="55" t="s">
        <v>8</v>
      </c>
      <c r="AC1" s="56"/>
      <c r="AD1" s="56"/>
      <c r="AE1" s="56"/>
      <c r="AF1" s="56"/>
      <c r="AG1" s="56"/>
      <c r="AH1" s="56"/>
      <c r="AI1" s="57"/>
      <c r="AJ1" s="45" t="s">
        <v>11</v>
      </c>
      <c r="AK1" s="45" t="s">
        <v>9</v>
      </c>
      <c r="AL1" s="47" t="s">
        <v>2</v>
      </c>
      <c r="AM1" s="47" t="s">
        <v>10</v>
      </c>
      <c r="AN1" s="47" t="s">
        <v>3</v>
      </c>
      <c r="AO1" s="49" t="s">
        <v>4</v>
      </c>
      <c r="AP1" s="18"/>
    </row>
    <row r="2" spans="1:42" s="1" customFormat="1" ht="13.5" customHeight="1" x14ac:dyDescent="0.3">
      <c r="A2" s="52"/>
      <c r="B2" s="54"/>
      <c r="C2" s="10">
        <v>4</v>
      </c>
      <c r="D2" s="11">
        <v>11</v>
      </c>
      <c r="E2" s="11">
        <v>11</v>
      </c>
      <c r="F2" s="11">
        <v>11</v>
      </c>
      <c r="G2" s="10">
        <v>18</v>
      </c>
      <c r="H2" s="11">
        <v>25</v>
      </c>
      <c r="I2" s="11">
        <v>25</v>
      </c>
      <c r="J2" s="11">
        <v>25</v>
      </c>
      <c r="K2" s="10">
        <v>2</v>
      </c>
      <c r="L2" s="11">
        <v>9</v>
      </c>
      <c r="M2" s="11">
        <v>9</v>
      </c>
      <c r="N2" s="11">
        <v>9</v>
      </c>
      <c r="O2" s="10">
        <v>16</v>
      </c>
      <c r="P2" s="11">
        <v>23</v>
      </c>
      <c r="Q2" s="11">
        <v>23</v>
      </c>
      <c r="R2" s="11">
        <v>23</v>
      </c>
      <c r="S2" s="10">
        <v>30</v>
      </c>
      <c r="T2" s="11">
        <v>6</v>
      </c>
      <c r="U2" s="11">
        <v>6</v>
      </c>
      <c r="V2" s="11">
        <v>6</v>
      </c>
      <c r="W2" s="10">
        <v>13</v>
      </c>
      <c r="X2" s="11">
        <v>20</v>
      </c>
      <c r="Y2" s="11">
        <v>20</v>
      </c>
      <c r="Z2" s="11">
        <v>20</v>
      </c>
      <c r="AA2" s="10">
        <v>27</v>
      </c>
      <c r="AB2" s="11">
        <v>4</v>
      </c>
      <c r="AC2" s="11">
        <v>4</v>
      </c>
      <c r="AD2" s="11">
        <v>4</v>
      </c>
      <c r="AE2" s="10">
        <v>11</v>
      </c>
      <c r="AF2" s="11">
        <v>18</v>
      </c>
      <c r="AG2" s="11">
        <v>18</v>
      </c>
      <c r="AH2" s="11">
        <v>18</v>
      </c>
      <c r="AI2" s="10">
        <v>25</v>
      </c>
      <c r="AJ2" s="46"/>
      <c r="AK2" s="46"/>
      <c r="AL2" s="48"/>
      <c r="AM2" s="48"/>
      <c r="AN2" s="48"/>
      <c r="AO2" s="50"/>
      <c r="AP2" s="18"/>
    </row>
    <row r="3" spans="1:42" ht="13.5" customHeight="1" x14ac:dyDescent="0.3">
      <c r="A3" s="25" t="s">
        <v>136</v>
      </c>
      <c r="B3" s="15" t="s">
        <v>15</v>
      </c>
      <c r="C3" s="4"/>
      <c r="D3" s="3">
        <v>2</v>
      </c>
      <c r="E3" s="3">
        <v>2</v>
      </c>
      <c r="F3" s="21">
        <v>2</v>
      </c>
      <c r="G3" s="27"/>
      <c r="H3" s="3">
        <v>2</v>
      </c>
      <c r="I3" s="3">
        <v>6</v>
      </c>
      <c r="J3" s="21">
        <v>37</v>
      </c>
      <c r="K3" s="3">
        <v>6</v>
      </c>
      <c r="L3" s="3">
        <v>2</v>
      </c>
      <c r="M3" s="3">
        <v>6</v>
      </c>
      <c r="N3" s="21">
        <v>8</v>
      </c>
      <c r="O3" s="27"/>
      <c r="P3" s="3"/>
      <c r="Q3" s="3"/>
      <c r="R3" s="22"/>
      <c r="S3" s="2"/>
      <c r="T3" s="2"/>
      <c r="U3" s="2"/>
      <c r="V3" s="22"/>
      <c r="W3" s="2"/>
      <c r="X3" s="2"/>
      <c r="Y3" s="2"/>
      <c r="Z3" s="22"/>
      <c r="AA3" s="2"/>
      <c r="AB3" s="2"/>
      <c r="AC3" s="2"/>
      <c r="AD3" s="22"/>
      <c r="AE3" s="2"/>
      <c r="AF3" s="2"/>
      <c r="AG3" s="2"/>
      <c r="AH3" s="22"/>
      <c r="AI3" s="2"/>
      <c r="AJ3" s="3"/>
      <c r="AK3" s="3"/>
      <c r="AL3" s="8">
        <f t="shared" ref="AL3:AL10" si="0">SUM(C3:AK3)</f>
        <v>73</v>
      </c>
      <c r="AM3" s="13">
        <f>AL3/AL27</f>
        <v>0.38829787234042551</v>
      </c>
      <c r="AN3" s="9"/>
      <c r="AO3" s="12"/>
      <c r="AP3" s="19"/>
    </row>
    <row r="4" spans="1:42" ht="13.5" customHeight="1" x14ac:dyDescent="0.3">
      <c r="A4" s="25" t="s">
        <v>137</v>
      </c>
      <c r="B4" s="15" t="s">
        <v>19</v>
      </c>
      <c r="C4" s="4"/>
      <c r="D4" s="3">
        <v>2</v>
      </c>
      <c r="E4" s="3">
        <v>6</v>
      </c>
      <c r="F4" s="21">
        <v>2</v>
      </c>
      <c r="G4" s="3">
        <v>6</v>
      </c>
      <c r="H4" s="3">
        <v>2</v>
      </c>
      <c r="I4" s="3">
        <v>6</v>
      </c>
      <c r="J4" s="21">
        <v>24</v>
      </c>
      <c r="K4" s="3">
        <v>2</v>
      </c>
      <c r="L4" s="3">
        <v>2</v>
      </c>
      <c r="M4" s="3">
        <v>6</v>
      </c>
      <c r="N4" s="21">
        <v>2</v>
      </c>
      <c r="O4" s="3">
        <v>6</v>
      </c>
      <c r="P4" s="3"/>
      <c r="Q4" s="3"/>
      <c r="R4" s="22"/>
      <c r="S4" s="2"/>
      <c r="T4" s="2"/>
      <c r="U4" s="2"/>
      <c r="V4" s="22"/>
      <c r="W4" s="2"/>
      <c r="X4" s="2"/>
      <c r="Y4" s="2"/>
      <c r="Z4" s="22"/>
      <c r="AA4" s="2"/>
      <c r="AB4" s="2"/>
      <c r="AC4" s="2"/>
      <c r="AD4" s="22"/>
      <c r="AE4" s="2"/>
      <c r="AF4" s="2"/>
      <c r="AG4" s="2"/>
      <c r="AH4" s="22"/>
      <c r="AI4" s="2"/>
      <c r="AJ4" s="3"/>
      <c r="AK4" s="3"/>
      <c r="AL4" s="8">
        <f t="shared" si="0"/>
        <v>66</v>
      </c>
      <c r="AM4" s="13">
        <f>AL4/AL27</f>
        <v>0.35106382978723405</v>
      </c>
      <c r="AN4" s="9"/>
      <c r="AO4" s="12"/>
      <c r="AP4" s="19"/>
    </row>
    <row r="5" spans="1:42" ht="13.5" customHeight="1" x14ac:dyDescent="0.3">
      <c r="A5" s="25" t="s">
        <v>138</v>
      </c>
      <c r="B5" s="15" t="s">
        <v>23</v>
      </c>
      <c r="C5" s="4"/>
      <c r="D5" s="3">
        <v>2</v>
      </c>
      <c r="E5" s="3">
        <v>2</v>
      </c>
      <c r="F5" s="21">
        <v>2</v>
      </c>
      <c r="G5" s="3">
        <v>6</v>
      </c>
      <c r="H5" s="3">
        <v>2</v>
      </c>
      <c r="I5" s="3">
        <v>6</v>
      </c>
      <c r="J5" s="21">
        <v>26</v>
      </c>
      <c r="K5" s="3">
        <v>6</v>
      </c>
      <c r="L5" s="3">
        <v>2</v>
      </c>
      <c r="M5" s="3">
        <v>6</v>
      </c>
      <c r="N5" s="21">
        <v>2</v>
      </c>
      <c r="O5" s="3">
        <v>6</v>
      </c>
      <c r="P5" s="3"/>
      <c r="Q5" s="3"/>
      <c r="R5" s="22"/>
      <c r="S5" s="2"/>
      <c r="T5" s="2"/>
      <c r="U5" s="2"/>
      <c r="V5" s="22"/>
      <c r="W5" s="2"/>
      <c r="X5" s="2"/>
      <c r="Y5" s="2"/>
      <c r="Z5" s="22"/>
      <c r="AA5" s="2"/>
      <c r="AB5" s="2"/>
      <c r="AC5" s="2"/>
      <c r="AD5" s="22"/>
      <c r="AE5" s="2"/>
      <c r="AF5" s="2"/>
      <c r="AG5" s="2"/>
      <c r="AH5" s="22"/>
      <c r="AI5" s="2"/>
      <c r="AJ5" s="3"/>
      <c r="AK5" s="3">
        <v>100</v>
      </c>
      <c r="AL5" s="8">
        <f t="shared" si="0"/>
        <v>168</v>
      </c>
      <c r="AM5" s="13">
        <f>AL5/AL27</f>
        <v>0.8936170212765957</v>
      </c>
      <c r="AN5" s="9"/>
      <c r="AO5" s="12"/>
      <c r="AP5" s="19"/>
    </row>
    <row r="6" spans="1:42" ht="13.5" customHeight="1" x14ac:dyDescent="0.3">
      <c r="A6" s="25" t="s">
        <v>139</v>
      </c>
      <c r="B6" s="15" t="s">
        <v>26</v>
      </c>
      <c r="C6" s="4"/>
      <c r="D6" s="3">
        <v>2</v>
      </c>
      <c r="E6" s="3">
        <v>6</v>
      </c>
      <c r="F6" s="21">
        <v>2</v>
      </c>
      <c r="G6" s="3">
        <v>6</v>
      </c>
      <c r="H6" s="3">
        <v>2</v>
      </c>
      <c r="I6" s="3">
        <v>6</v>
      </c>
      <c r="J6" s="21">
        <v>26</v>
      </c>
      <c r="K6" s="3">
        <v>6</v>
      </c>
      <c r="L6" s="3">
        <v>2</v>
      </c>
      <c r="M6" s="3">
        <v>6</v>
      </c>
      <c r="N6" s="21">
        <v>8</v>
      </c>
      <c r="O6" s="3">
        <v>6</v>
      </c>
      <c r="P6" s="3"/>
      <c r="Q6" s="3"/>
      <c r="R6" s="22"/>
      <c r="S6" s="2"/>
      <c r="T6" s="2"/>
      <c r="U6" s="2"/>
      <c r="V6" s="22"/>
      <c r="W6" s="2"/>
      <c r="X6" s="2"/>
      <c r="Y6" s="2"/>
      <c r="Z6" s="22"/>
      <c r="AA6" s="2"/>
      <c r="AB6" s="2"/>
      <c r="AC6" s="2"/>
      <c r="AD6" s="22"/>
      <c r="AE6" s="2"/>
      <c r="AF6" s="2"/>
      <c r="AG6" s="2"/>
      <c r="AH6" s="22"/>
      <c r="AI6" s="2"/>
      <c r="AJ6" s="3"/>
      <c r="AK6" s="3"/>
      <c r="AL6" s="8">
        <f t="shared" si="0"/>
        <v>78</v>
      </c>
      <c r="AM6" s="13">
        <f>AL6/AL27</f>
        <v>0.41489361702127658</v>
      </c>
      <c r="AN6" s="9"/>
      <c r="AO6" s="12"/>
      <c r="AP6" s="19"/>
    </row>
    <row r="7" spans="1:42" ht="13.5" customHeight="1" x14ac:dyDescent="0.3">
      <c r="A7" s="25" t="s">
        <v>140</v>
      </c>
      <c r="B7" s="15" t="s">
        <v>28</v>
      </c>
      <c r="C7" s="4"/>
      <c r="D7" s="3">
        <v>2</v>
      </c>
      <c r="E7" s="3">
        <v>6</v>
      </c>
      <c r="F7" s="21">
        <v>2</v>
      </c>
      <c r="G7" s="3">
        <v>6</v>
      </c>
      <c r="H7" s="3">
        <v>2</v>
      </c>
      <c r="I7" s="3">
        <v>6</v>
      </c>
      <c r="J7" s="21">
        <v>28</v>
      </c>
      <c r="K7" s="3">
        <v>2</v>
      </c>
      <c r="L7" s="3">
        <v>2</v>
      </c>
      <c r="M7" s="3">
        <v>6</v>
      </c>
      <c r="N7" s="21">
        <v>8</v>
      </c>
      <c r="O7" s="3">
        <v>6</v>
      </c>
      <c r="P7" s="3"/>
      <c r="Q7" s="3"/>
      <c r="R7" s="22"/>
      <c r="S7" s="2"/>
      <c r="T7" s="2"/>
      <c r="U7" s="2"/>
      <c r="V7" s="22"/>
      <c r="W7" s="2"/>
      <c r="X7" s="2"/>
      <c r="Y7" s="2"/>
      <c r="Z7" s="22"/>
      <c r="AA7" s="2"/>
      <c r="AB7" s="2"/>
      <c r="AC7" s="2"/>
      <c r="AD7" s="22"/>
      <c r="AE7" s="2"/>
      <c r="AF7" s="2"/>
      <c r="AG7" s="2"/>
      <c r="AH7" s="22"/>
      <c r="AI7" s="2"/>
      <c r="AJ7" s="3"/>
      <c r="AK7" s="3"/>
      <c r="AL7" s="8">
        <f t="shared" si="0"/>
        <v>76</v>
      </c>
      <c r="AM7" s="13">
        <f>AL7/AL27</f>
        <v>0.40425531914893614</v>
      </c>
      <c r="AN7" s="9"/>
      <c r="AO7" s="12"/>
      <c r="AP7" s="19"/>
    </row>
    <row r="8" spans="1:42" ht="13.5" customHeight="1" x14ac:dyDescent="0.3">
      <c r="A8" s="25" t="s">
        <v>141</v>
      </c>
      <c r="B8" s="15" t="s">
        <v>29</v>
      </c>
      <c r="C8" s="4"/>
      <c r="D8" s="3">
        <v>2</v>
      </c>
      <c r="E8" s="3">
        <v>2</v>
      </c>
      <c r="F8" s="21">
        <v>2</v>
      </c>
      <c r="G8" s="3">
        <v>6</v>
      </c>
      <c r="H8" s="3">
        <v>2</v>
      </c>
      <c r="I8" s="3">
        <v>6</v>
      </c>
      <c r="J8" s="21">
        <v>26</v>
      </c>
      <c r="K8" s="3">
        <v>2</v>
      </c>
      <c r="L8" s="3">
        <v>2</v>
      </c>
      <c r="M8" s="3">
        <v>6</v>
      </c>
      <c r="N8" s="21">
        <v>12</v>
      </c>
      <c r="O8" s="3">
        <v>6</v>
      </c>
      <c r="P8" s="3"/>
      <c r="Q8" s="3"/>
      <c r="R8" s="22"/>
      <c r="S8" s="2"/>
      <c r="T8" s="2"/>
      <c r="U8" s="2"/>
      <c r="V8" s="22"/>
      <c r="W8" s="2"/>
      <c r="X8" s="2"/>
      <c r="Y8" s="2"/>
      <c r="Z8" s="22"/>
      <c r="AA8" s="2"/>
      <c r="AB8" s="2"/>
      <c r="AC8" s="2"/>
      <c r="AD8" s="22"/>
      <c r="AE8" s="2"/>
      <c r="AF8" s="2"/>
      <c r="AG8" s="2"/>
      <c r="AH8" s="22"/>
      <c r="AI8" s="2"/>
      <c r="AJ8" s="3"/>
      <c r="AK8" s="3"/>
      <c r="AL8" s="8">
        <f t="shared" si="0"/>
        <v>74</v>
      </c>
      <c r="AM8" s="13">
        <f>AL8/AL27</f>
        <v>0.39361702127659576</v>
      </c>
      <c r="AN8" s="9"/>
      <c r="AO8" s="12"/>
      <c r="AP8" s="19"/>
    </row>
    <row r="9" spans="1:42" ht="13.5" customHeight="1" x14ac:dyDescent="0.3">
      <c r="A9" s="25" t="s">
        <v>142</v>
      </c>
      <c r="B9" s="15" t="s">
        <v>35</v>
      </c>
      <c r="C9" s="4"/>
      <c r="D9" s="3">
        <v>2</v>
      </c>
      <c r="E9" s="3">
        <v>6</v>
      </c>
      <c r="F9" s="21">
        <v>2</v>
      </c>
      <c r="G9" s="3">
        <v>6</v>
      </c>
      <c r="H9" s="3">
        <v>2</v>
      </c>
      <c r="I9" s="3">
        <v>6</v>
      </c>
      <c r="J9" s="21">
        <v>43</v>
      </c>
      <c r="K9" s="3">
        <v>2</v>
      </c>
      <c r="L9" s="3">
        <v>2</v>
      </c>
      <c r="M9" s="3">
        <v>6</v>
      </c>
      <c r="N9" s="21">
        <v>11</v>
      </c>
      <c r="O9" s="27"/>
      <c r="P9" s="3"/>
      <c r="Q9" s="3"/>
      <c r="R9" s="22"/>
      <c r="S9" s="2"/>
      <c r="T9" s="2"/>
      <c r="U9" s="2"/>
      <c r="V9" s="22"/>
      <c r="W9" s="2"/>
      <c r="X9" s="2"/>
      <c r="Y9" s="2"/>
      <c r="Z9" s="22"/>
      <c r="AA9" s="2"/>
      <c r="AB9" s="2"/>
      <c r="AC9" s="2"/>
      <c r="AD9" s="22"/>
      <c r="AE9" s="2"/>
      <c r="AF9" s="2"/>
      <c r="AG9" s="2"/>
      <c r="AH9" s="22"/>
      <c r="AI9" s="2"/>
      <c r="AJ9" s="3"/>
      <c r="AK9" s="3"/>
      <c r="AL9" s="8">
        <f t="shared" si="0"/>
        <v>88</v>
      </c>
      <c r="AM9" s="13">
        <f>AL9/AL27</f>
        <v>0.46808510638297873</v>
      </c>
      <c r="AN9" s="9"/>
      <c r="AO9" s="12"/>
      <c r="AP9" s="19"/>
    </row>
    <row r="10" spans="1:42" ht="13.5" customHeight="1" x14ac:dyDescent="0.3">
      <c r="A10" s="25" t="s">
        <v>143</v>
      </c>
      <c r="B10" s="15" t="s">
        <v>37</v>
      </c>
      <c r="C10" s="4"/>
      <c r="D10" s="3">
        <v>2</v>
      </c>
      <c r="E10" s="3">
        <v>2</v>
      </c>
      <c r="F10" s="21">
        <v>2</v>
      </c>
      <c r="G10" s="36">
        <v>6</v>
      </c>
      <c r="H10" s="27"/>
      <c r="I10" s="27"/>
      <c r="J10" s="27"/>
      <c r="K10" s="27"/>
      <c r="L10" s="27"/>
      <c r="M10" s="27"/>
      <c r="N10" s="27"/>
      <c r="O10" s="27"/>
      <c r="P10" s="3"/>
      <c r="Q10" s="3"/>
      <c r="R10" s="22"/>
      <c r="S10" s="2"/>
      <c r="T10" s="2"/>
      <c r="U10" s="2"/>
      <c r="V10" s="22"/>
      <c r="W10" s="2"/>
      <c r="X10" s="2"/>
      <c r="Y10" s="2"/>
      <c r="Z10" s="22"/>
      <c r="AA10" s="2"/>
      <c r="AB10" s="2"/>
      <c r="AC10" s="2"/>
      <c r="AD10" s="22"/>
      <c r="AE10" s="2"/>
      <c r="AF10" s="2"/>
      <c r="AG10" s="2"/>
      <c r="AH10" s="22"/>
      <c r="AI10" s="2"/>
      <c r="AJ10" s="3"/>
      <c r="AK10" s="3"/>
      <c r="AL10" s="8">
        <f t="shared" si="0"/>
        <v>12</v>
      </c>
      <c r="AM10" s="13">
        <f>AL10/AL27</f>
        <v>6.3829787234042548E-2</v>
      </c>
      <c r="AN10" s="9"/>
      <c r="AO10" s="12"/>
      <c r="AP10" s="19"/>
    </row>
    <row r="11" spans="1:42" ht="13.5" customHeight="1" x14ac:dyDescent="0.3">
      <c r="A11" s="25" t="s">
        <v>144</v>
      </c>
      <c r="B11" s="15" t="s">
        <v>42</v>
      </c>
      <c r="C11" s="4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3"/>
      <c r="Q11" s="3"/>
      <c r="R11" s="22"/>
      <c r="S11" s="2"/>
      <c r="T11" s="2"/>
      <c r="U11" s="2"/>
      <c r="V11" s="22"/>
      <c r="W11" s="2"/>
      <c r="X11" s="2"/>
      <c r="Y11" s="2"/>
      <c r="Z11" s="22"/>
      <c r="AA11" s="2"/>
      <c r="AB11" s="2"/>
      <c r="AC11" s="2"/>
      <c r="AD11" s="22"/>
      <c r="AE11" s="2"/>
      <c r="AF11" s="2"/>
      <c r="AG11" s="2"/>
      <c r="AH11" s="22"/>
      <c r="AI11" s="2"/>
      <c r="AJ11" s="3"/>
      <c r="AK11" s="3"/>
      <c r="AL11" s="8"/>
      <c r="AM11" s="13"/>
      <c r="AN11" s="9"/>
      <c r="AO11" s="12"/>
      <c r="AP11" s="19"/>
    </row>
    <row r="12" spans="1:42" ht="13.5" customHeight="1" x14ac:dyDescent="0.3">
      <c r="A12" s="25" t="s">
        <v>145</v>
      </c>
      <c r="B12" s="15" t="s">
        <v>44</v>
      </c>
      <c r="C12" s="4"/>
      <c r="D12" s="3">
        <v>2</v>
      </c>
      <c r="E12" s="3">
        <v>2</v>
      </c>
      <c r="F12" s="21">
        <v>2</v>
      </c>
      <c r="G12" s="3">
        <v>6</v>
      </c>
      <c r="H12" s="3">
        <v>2</v>
      </c>
      <c r="I12" s="3">
        <v>6</v>
      </c>
      <c r="J12" s="21">
        <v>15</v>
      </c>
      <c r="K12" s="3">
        <v>6</v>
      </c>
      <c r="L12" s="3">
        <v>2</v>
      </c>
      <c r="M12" s="3">
        <v>6</v>
      </c>
      <c r="N12" s="21">
        <v>8</v>
      </c>
      <c r="O12" s="3">
        <v>6</v>
      </c>
      <c r="P12" s="3"/>
      <c r="Q12" s="3"/>
      <c r="R12" s="22"/>
      <c r="S12" s="2"/>
      <c r="T12" s="2"/>
      <c r="U12" s="2"/>
      <c r="V12" s="22"/>
      <c r="W12" s="2"/>
      <c r="X12" s="2"/>
      <c r="Y12" s="2"/>
      <c r="Z12" s="22"/>
      <c r="AA12" s="2"/>
      <c r="AB12" s="2"/>
      <c r="AC12" s="2"/>
      <c r="AD12" s="22"/>
      <c r="AE12" s="2"/>
      <c r="AF12" s="2"/>
      <c r="AG12" s="2"/>
      <c r="AH12" s="22"/>
      <c r="AI12" s="2"/>
      <c r="AJ12" s="3"/>
      <c r="AK12" s="3"/>
      <c r="AL12" s="8">
        <f t="shared" ref="AL12:AL27" si="1">SUM(C12:AK12)</f>
        <v>63</v>
      </c>
      <c r="AM12" s="13">
        <f>AL12/AL27</f>
        <v>0.33510638297872342</v>
      </c>
      <c r="AN12" s="9"/>
      <c r="AO12" s="12"/>
      <c r="AP12" s="19"/>
    </row>
    <row r="13" spans="1:42" ht="13.5" customHeight="1" x14ac:dyDescent="0.3">
      <c r="A13" s="25" t="s">
        <v>146</v>
      </c>
      <c r="B13" s="15" t="s">
        <v>57</v>
      </c>
      <c r="C13" s="4"/>
      <c r="D13" s="3">
        <v>2</v>
      </c>
      <c r="E13" s="3">
        <v>6</v>
      </c>
      <c r="F13" s="21">
        <v>2</v>
      </c>
      <c r="G13" s="3">
        <v>6</v>
      </c>
      <c r="H13" s="3">
        <v>2</v>
      </c>
      <c r="I13" s="3">
        <v>6</v>
      </c>
      <c r="J13" s="21">
        <v>23</v>
      </c>
      <c r="K13" s="3">
        <v>2</v>
      </c>
      <c r="L13" s="3">
        <v>2</v>
      </c>
      <c r="M13" s="3">
        <v>6</v>
      </c>
      <c r="N13" s="21">
        <v>8</v>
      </c>
      <c r="O13" s="3">
        <v>6</v>
      </c>
      <c r="P13" s="3"/>
      <c r="Q13" s="3"/>
      <c r="R13" s="22"/>
      <c r="S13" s="2"/>
      <c r="T13" s="2"/>
      <c r="U13" s="2"/>
      <c r="V13" s="22"/>
      <c r="W13" s="2"/>
      <c r="X13" s="2"/>
      <c r="Y13" s="2"/>
      <c r="Z13" s="22"/>
      <c r="AA13" s="2"/>
      <c r="AB13" s="2"/>
      <c r="AC13" s="2"/>
      <c r="AD13" s="22"/>
      <c r="AE13" s="2"/>
      <c r="AF13" s="2"/>
      <c r="AG13" s="2"/>
      <c r="AH13" s="22"/>
      <c r="AI13" s="2"/>
      <c r="AJ13" s="3"/>
      <c r="AK13" s="3"/>
      <c r="AL13" s="8">
        <f t="shared" si="1"/>
        <v>71</v>
      </c>
      <c r="AM13" s="13">
        <f>AL13/AL27</f>
        <v>0.37765957446808512</v>
      </c>
      <c r="AN13" s="9"/>
      <c r="AO13" s="12"/>
      <c r="AP13" s="19"/>
    </row>
    <row r="14" spans="1:42" ht="13.5" customHeight="1" x14ac:dyDescent="0.3">
      <c r="A14" s="25" t="s">
        <v>147</v>
      </c>
      <c r="B14" s="15" t="s">
        <v>58</v>
      </c>
      <c r="C14" s="4"/>
      <c r="D14" s="3">
        <v>2</v>
      </c>
      <c r="E14" s="3">
        <v>2</v>
      </c>
      <c r="F14" s="21">
        <v>2</v>
      </c>
      <c r="G14" s="3">
        <v>6</v>
      </c>
      <c r="H14" s="3">
        <v>2</v>
      </c>
      <c r="I14" s="3">
        <v>6</v>
      </c>
      <c r="J14" s="21">
        <v>41</v>
      </c>
      <c r="K14" s="3">
        <v>6</v>
      </c>
      <c r="L14" s="3">
        <v>2</v>
      </c>
      <c r="M14" s="3">
        <v>6</v>
      </c>
      <c r="N14" s="21">
        <v>2</v>
      </c>
      <c r="O14" s="3">
        <v>6</v>
      </c>
      <c r="P14" s="3"/>
      <c r="Q14" s="3"/>
      <c r="R14" s="22"/>
      <c r="S14" s="2"/>
      <c r="T14" s="2"/>
      <c r="U14" s="2"/>
      <c r="V14" s="22"/>
      <c r="W14" s="2"/>
      <c r="X14" s="2"/>
      <c r="Y14" s="2"/>
      <c r="Z14" s="22"/>
      <c r="AA14" s="2"/>
      <c r="AB14" s="2"/>
      <c r="AC14" s="2"/>
      <c r="AD14" s="22"/>
      <c r="AE14" s="2"/>
      <c r="AF14" s="2"/>
      <c r="AG14" s="2"/>
      <c r="AH14" s="22"/>
      <c r="AI14" s="2"/>
      <c r="AJ14" s="3"/>
      <c r="AK14" s="3"/>
      <c r="AL14" s="8">
        <f t="shared" si="1"/>
        <v>83</v>
      </c>
      <c r="AM14" s="13">
        <f>AL14/AL27</f>
        <v>0.44148936170212766</v>
      </c>
      <c r="AN14" s="9"/>
      <c r="AO14" s="12"/>
      <c r="AP14" s="19"/>
    </row>
    <row r="15" spans="1:42" ht="13.5" customHeight="1" x14ac:dyDescent="0.3">
      <c r="A15" s="25" t="s">
        <v>148</v>
      </c>
      <c r="B15" s="15" t="s">
        <v>64</v>
      </c>
      <c r="C15" s="4"/>
      <c r="D15" s="3">
        <v>2</v>
      </c>
      <c r="E15" s="3">
        <v>6</v>
      </c>
      <c r="F15" s="21">
        <v>2</v>
      </c>
      <c r="G15" s="3">
        <v>6</v>
      </c>
      <c r="H15" s="3">
        <v>2</v>
      </c>
      <c r="I15" s="3">
        <v>6</v>
      </c>
      <c r="J15" s="21">
        <v>15</v>
      </c>
      <c r="K15" s="3">
        <v>6</v>
      </c>
      <c r="L15" s="3">
        <v>2</v>
      </c>
      <c r="M15" s="3">
        <v>6</v>
      </c>
      <c r="N15" s="21">
        <v>2</v>
      </c>
      <c r="O15" s="27"/>
      <c r="P15" s="3"/>
      <c r="Q15" s="3"/>
      <c r="R15" s="22"/>
      <c r="S15" s="2"/>
      <c r="T15" s="2"/>
      <c r="U15" s="2"/>
      <c r="V15" s="22"/>
      <c r="W15" s="2"/>
      <c r="X15" s="2"/>
      <c r="Y15" s="2"/>
      <c r="Z15" s="22"/>
      <c r="AA15" s="2"/>
      <c r="AB15" s="2"/>
      <c r="AC15" s="2"/>
      <c r="AD15" s="22"/>
      <c r="AE15" s="2"/>
      <c r="AF15" s="2"/>
      <c r="AG15" s="2"/>
      <c r="AH15" s="22"/>
      <c r="AI15" s="2"/>
      <c r="AJ15" s="3"/>
      <c r="AK15" s="3"/>
      <c r="AL15" s="8">
        <f t="shared" si="1"/>
        <v>55</v>
      </c>
      <c r="AM15" s="13">
        <f>AL15/AL27</f>
        <v>0.29255319148936171</v>
      </c>
      <c r="AN15" s="9"/>
      <c r="AO15" s="12"/>
      <c r="AP15" s="19"/>
    </row>
    <row r="16" spans="1:42" ht="13.5" customHeight="1" x14ac:dyDescent="0.3">
      <c r="A16" s="25" t="s">
        <v>149</v>
      </c>
      <c r="B16" s="15" t="s">
        <v>67</v>
      </c>
      <c r="C16" s="4"/>
      <c r="D16" s="3">
        <v>2</v>
      </c>
      <c r="E16" s="3">
        <v>2</v>
      </c>
      <c r="F16" s="21">
        <v>2</v>
      </c>
      <c r="G16" s="3">
        <v>6</v>
      </c>
      <c r="H16" s="3">
        <v>2</v>
      </c>
      <c r="I16" s="3">
        <v>6</v>
      </c>
      <c r="J16" s="21">
        <v>22</v>
      </c>
      <c r="K16" s="3">
        <v>6</v>
      </c>
      <c r="L16" s="3">
        <v>2</v>
      </c>
      <c r="M16" s="3">
        <v>6</v>
      </c>
      <c r="N16" s="21">
        <v>9</v>
      </c>
      <c r="O16" s="3">
        <v>6</v>
      </c>
      <c r="P16" s="3"/>
      <c r="Q16" s="3"/>
      <c r="R16" s="22"/>
      <c r="S16" s="2"/>
      <c r="T16" s="2"/>
      <c r="U16" s="2"/>
      <c r="V16" s="22"/>
      <c r="W16" s="2"/>
      <c r="X16" s="2"/>
      <c r="Y16" s="2"/>
      <c r="Z16" s="22"/>
      <c r="AA16" s="2"/>
      <c r="AB16" s="2"/>
      <c r="AC16" s="2"/>
      <c r="AD16" s="22"/>
      <c r="AE16" s="2"/>
      <c r="AF16" s="2"/>
      <c r="AG16" s="2"/>
      <c r="AH16" s="22"/>
      <c r="AI16" s="2"/>
      <c r="AJ16" s="3"/>
      <c r="AK16" s="3"/>
      <c r="AL16" s="8">
        <f t="shared" si="1"/>
        <v>71</v>
      </c>
      <c r="AM16" s="13">
        <f>AL16/AL27</f>
        <v>0.37765957446808512</v>
      </c>
      <c r="AN16" s="9"/>
      <c r="AO16" s="12"/>
      <c r="AP16" s="19"/>
    </row>
    <row r="17" spans="1:43" ht="13.5" customHeight="1" x14ac:dyDescent="0.3">
      <c r="A17" s="25" t="s">
        <v>150</v>
      </c>
      <c r="B17" s="15" t="s">
        <v>76</v>
      </c>
      <c r="C17" s="4"/>
      <c r="D17" s="3">
        <v>2</v>
      </c>
      <c r="E17" s="3">
        <v>6</v>
      </c>
      <c r="F17" s="21">
        <v>2</v>
      </c>
      <c r="G17" s="3">
        <v>6</v>
      </c>
      <c r="H17" s="3">
        <v>2</v>
      </c>
      <c r="I17" s="3">
        <v>6</v>
      </c>
      <c r="J17" s="21">
        <v>18</v>
      </c>
      <c r="K17" s="3">
        <v>6</v>
      </c>
      <c r="L17" s="3">
        <v>2</v>
      </c>
      <c r="M17" s="3">
        <v>6</v>
      </c>
      <c r="N17" s="21">
        <v>2</v>
      </c>
      <c r="O17" s="3">
        <v>6</v>
      </c>
      <c r="P17" s="3"/>
      <c r="Q17" s="3"/>
      <c r="R17" s="22"/>
      <c r="S17" s="2"/>
      <c r="T17" s="2"/>
      <c r="U17" s="2"/>
      <c r="V17" s="22"/>
      <c r="W17" s="2"/>
      <c r="X17" s="2"/>
      <c r="Y17" s="2"/>
      <c r="Z17" s="22"/>
      <c r="AA17" s="2"/>
      <c r="AB17" s="2"/>
      <c r="AC17" s="2"/>
      <c r="AD17" s="22"/>
      <c r="AE17" s="2"/>
      <c r="AF17" s="2"/>
      <c r="AG17" s="2"/>
      <c r="AH17" s="22"/>
      <c r="AI17" s="2"/>
      <c r="AJ17" s="3"/>
      <c r="AK17" s="3"/>
      <c r="AL17" s="8">
        <f t="shared" si="1"/>
        <v>64</v>
      </c>
      <c r="AM17" s="13">
        <f>AL17/AL27</f>
        <v>0.34042553191489361</v>
      </c>
      <c r="AN17" s="9"/>
      <c r="AO17" s="12"/>
      <c r="AP17" s="19"/>
    </row>
    <row r="18" spans="1:43" ht="13.5" customHeight="1" x14ac:dyDescent="0.3">
      <c r="A18" s="25" t="s">
        <v>151</v>
      </c>
      <c r="B18" s="15" t="s">
        <v>83</v>
      </c>
      <c r="C18" s="4"/>
      <c r="D18" s="3">
        <v>2</v>
      </c>
      <c r="E18" s="3">
        <v>2</v>
      </c>
      <c r="F18" s="21">
        <v>2</v>
      </c>
      <c r="G18" s="3">
        <v>6</v>
      </c>
      <c r="H18" s="3">
        <v>2</v>
      </c>
      <c r="I18" s="3">
        <v>6</v>
      </c>
      <c r="J18" s="21">
        <v>16</v>
      </c>
      <c r="K18" s="3">
        <v>6</v>
      </c>
      <c r="L18" s="3">
        <v>2</v>
      </c>
      <c r="M18" s="3">
        <v>6</v>
      </c>
      <c r="N18" s="21">
        <v>2</v>
      </c>
      <c r="O18" s="3">
        <v>6</v>
      </c>
      <c r="P18" s="3"/>
      <c r="Q18" s="3"/>
      <c r="R18" s="22"/>
      <c r="S18" s="2"/>
      <c r="T18" s="2"/>
      <c r="U18" s="2"/>
      <c r="V18" s="22"/>
      <c r="W18" s="2"/>
      <c r="X18" s="2"/>
      <c r="Y18" s="2"/>
      <c r="Z18" s="22"/>
      <c r="AA18" s="2"/>
      <c r="AB18" s="2"/>
      <c r="AC18" s="2"/>
      <c r="AD18" s="22"/>
      <c r="AE18" s="2"/>
      <c r="AF18" s="2"/>
      <c r="AG18" s="2"/>
      <c r="AH18" s="22"/>
      <c r="AI18" s="2"/>
      <c r="AJ18" s="3"/>
      <c r="AK18" s="3"/>
      <c r="AL18" s="8">
        <f t="shared" si="1"/>
        <v>58</v>
      </c>
      <c r="AM18" s="13">
        <f>AL18/AL27</f>
        <v>0.30851063829787234</v>
      </c>
      <c r="AN18" s="9"/>
      <c r="AO18" s="12"/>
      <c r="AP18" s="19"/>
    </row>
    <row r="19" spans="1:43" ht="13.5" customHeight="1" x14ac:dyDescent="0.3">
      <c r="A19" s="25" t="s">
        <v>152</v>
      </c>
      <c r="B19" s="15" t="s">
        <v>91</v>
      </c>
      <c r="C19" s="4"/>
      <c r="D19" s="3">
        <v>2</v>
      </c>
      <c r="E19" s="3">
        <v>2</v>
      </c>
      <c r="F19" s="21">
        <v>2</v>
      </c>
      <c r="G19" s="3">
        <v>2</v>
      </c>
      <c r="H19" s="3">
        <v>2</v>
      </c>
      <c r="I19" s="3">
        <v>6</v>
      </c>
      <c r="J19" s="21">
        <v>23</v>
      </c>
      <c r="K19" s="3">
        <v>6</v>
      </c>
      <c r="L19" s="3">
        <v>2</v>
      </c>
      <c r="M19" s="3">
        <v>6</v>
      </c>
      <c r="N19" s="21">
        <v>8</v>
      </c>
      <c r="O19" s="27"/>
      <c r="P19" s="3"/>
      <c r="Q19" s="3"/>
      <c r="R19" s="22"/>
      <c r="S19" s="2"/>
      <c r="T19" s="2"/>
      <c r="U19" s="2"/>
      <c r="V19" s="22"/>
      <c r="W19" s="2"/>
      <c r="X19" s="2"/>
      <c r="Y19" s="2"/>
      <c r="Z19" s="22"/>
      <c r="AA19" s="2"/>
      <c r="AB19" s="2"/>
      <c r="AC19" s="2"/>
      <c r="AD19" s="22"/>
      <c r="AE19" s="2"/>
      <c r="AF19" s="2"/>
      <c r="AG19" s="2"/>
      <c r="AH19" s="22"/>
      <c r="AI19" s="2"/>
      <c r="AJ19" s="3"/>
      <c r="AK19" s="3"/>
      <c r="AL19" s="8">
        <f t="shared" si="1"/>
        <v>61</v>
      </c>
      <c r="AM19" s="13">
        <f>AL19/AL27</f>
        <v>0.32446808510638298</v>
      </c>
      <c r="AN19" s="9"/>
      <c r="AO19" s="12"/>
      <c r="AP19" s="19"/>
    </row>
    <row r="20" spans="1:43" ht="13.5" customHeight="1" x14ac:dyDescent="0.3">
      <c r="A20" s="25" t="s">
        <v>153</v>
      </c>
      <c r="B20" s="15" t="s">
        <v>93</v>
      </c>
      <c r="C20" s="4"/>
      <c r="D20" s="3">
        <v>2</v>
      </c>
      <c r="E20" s="3">
        <v>6</v>
      </c>
      <c r="F20" s="21">
        <v>2</v>
      </c>
      <c r="G20" s="3">
        <v>6</v>
      </c>
      <c r="H20" s="3">
        <v>2</v>
      </c>
      <c r="I20" s="3">
        <v>6</v>
      </c>
      <c r="J20" s="21">
        <v>15</v>
      </c>
      <c r="K20" s="3">
        <v>6</v>
      </c>
      <c r="L20" s="3">
        <v>2</v>
      </c>
      <c r="M20" s="3">
        <v>6</v>
      </c>
      <c r="N20" s="21">
        <v>2</v>
      </c>
      <c r="O20" s="3">
        <v>6</v>
      </c>
      <c r="P20" s="3"/>
      <c r="Q20" s="3"/>
      <c r="R20" s="22"/>
      <c r="S20" s="2"/>
      <c r="T20" s="2"/>
      <c r="U20" s="2"/>
      <c r="V20" s="22"/>
      <c r="W20" s="2"/>
      <c r="X20" s="2"/>
      <c r="Y20" s="2"/>
      <c r="Z20" s="22"/>
      <c r="AA20" s="2"/>
      <c r="AB20" s="2"/>
      <c r="AC20" s="2"/>
      <c r="AD20" s="22"/>
      <c r="AE20" s="2"/>
      <c r="AF20" s="2"/>
      <c r="AG20" s="2"/>
      <c r="AH20" s="22"/>
      <c r="AI20" s="2"/>
      <c r="AJ20" s="3"/>
      <c r="AK20" s="3"/>
      <c r="AL20" s="8">
        <f t="shared" si="1"/>
        <v>61</v>
      </c>
      <c r="AM20" s="13">
        <f>AL20/AL27</f>
        <v>0.32446808510638298</v>
      </c>
      <c r="AN20" s="9"/>
      <c r="AO20" s="12"/>
      <c r="AP20" s="19"/>
    </row>
    <row r="21" spans="1:43" ht="13.5" customHeight="1" x14ac:dyDescent="0.3">
      <c r="A21" s="25" t="s">
        <v>154</v>
      </c>
      <c r="B21" s="15" t="s">
        <v>97</v>
      </c>
      <c r="C21" s="4"/>
      <c r="D21" s="3">
        <v>2</v>
      </c>
      <c r="E21" s="3">
        <v>2</v>
      </c>
      <c r="F21" s="21">
        <v>2</v>
      </c>
      <c r="G21" s="3">
        <v>6</v>
      </c>
      <c r="H21" s="3">
        <v>2</v>
      </c>
      <c r="I21" s="3">
        <v>6</v>
      </c>
      <c r="J21" s="21">
        <v>41</v>
      </c>
      <c r="K21" s="3">
        <v>6</v>
      </c>
      <c r="L21" s="3">
        <v>2</v>
      </c>
      <c r="M21" s="3">
        <v>6</v>
      </c>
      <c r="N21" s="21">
        <v>2</v>
      </c>
      <c r="O21" s="3">
        <v>2</v>
      </c>
      <c r="P21" s="3"/>
      <c r="Q21" s="3"/>
      <c r="R21" s="22"/>
      <c r="S21" s="2"/>
      <c r="T21" s="2"/>
      <c r="U21" s="2"/>
      <c r="V21" s="22"/>
      <c r="W21" s="2"/>
      <c r="X21" s="2"/>
      <c r="Y21" s="2"/>
      <c r="Z21" s="22"/>
      <c r="AA21" s="2"/>
      <c r="AB21" s="2"/>
      <c r="AC21" s="2"/>
      <c r="AD21" s="22"/>
      <c r="AE21" s="2"/>
      <c r="AF21" s="2"/>
      <c r="AG21" s="2"/>
      <c r="AH21" s="22"/>
      <c r="AI21" s="2"/>
      <c r="AJ21" s="3"/>
      <c r="AK21" s="3"/>
      <c r="AL21" s="8">
        <f t="shared" si="1"/>
        <v>79</v>
      </c>
      <c r="AM21" s="13">
        <f>AL21/AL27</f>
        <v>0.42021276595744683</v>
      </c>
      <c r="AN21" s="9"/>
      <c r="AO21" s="12"/>
      <c r="AP21" s="19"/>
    </row>
    <row r="22" spans="1:43" ht="13.5" customHeight="1" x14ac:dyDescent="0.3">
      <c r="A22" s="25" t="s">
        <v>155</v>
      </c>
      <c r="B22" s="15" t="s">
        <v>114</v>
      </c>
      <c r="C22" s="4"/>
      <c r="D22" s="3">
        <v>2</v>
      </c>
      <c r="E22" s="3">
        <v>6</v>
      </c>
      <c r="F22" s="21">
        <v>2</v>
      </c>
      <c r="G22" s="3">
        <v>6</v>
      </c>
      <c r="H22" s="27"/>
      <c r="I22" s="27"/>
      <c r="J22" s="27"/>
      <c r="K22" s="3">
        <v>6</v>
      </c>
      <c r="L22" s="3">
        <v>2</v>
      </c>
      <c r="M22" s="3">
        <v>2</v>
      </c>
      <c r="N22" s="21">
        <v>11</v>
      </c>
      <c r="O22" s="27"/>
      <c r="P22" s="3"/>
      <c r="Q22" s="3"/>
      <c r="R22" s="22"/>
      <c r="S22" s="2"/>
      <c r="T22" s="2"/>
      <c r="U22" s="2"/>
      <c r="V22" s="22"/>
      <c r="W22" s="2"/>
      <c r="X22" s="2"/>
      <c r="Y22" s="2"/>
      <c r="Z22" s="22"/>
      <c r="AA22" s="2"/>
      <c r="AB22" s="2"/>
      <c r="AC22" s="2"/>
      <c r="AD22" s="22"/>
      <c r="AE22" s="2"/>
      <c r="AF22" s="2"/>
      <c r="AG22" s="2"/>
      <c r="AH22" s="22"/>
      <c r="AI22" s="2"/>
      <c r="AJ22" s="3"/>
      <c r="AK22" s="3"/>
      <c r="AL22" s="8">
        <f t="shared" si="1"/>
        <v>37</v>
      </c>
      <c r="AM22" s="13">
        <f>AL22/AL27</f>
        <v>0.19680851063829788</v>
      </c>
      <c r="AN22" s="9"/>
      <c r="AO22" s="12"/>
      <c r="AP22" s="19"/>
    </row>
    <row r="23" spans="1:43" ht="13.5" customHeight="1" x14ac:dyDescent="0.3">
      <c r="A23" s="25" t="s">
        <v>156</v>
      </c>
      <c r="B23" s="15" t="s">
        <v>117</v>
      </c>
      <c r="C23" s="4"/>
      <c r="D23" s="3">
        <v>2</v>
      </c>
      <c r="E23" s="3">
        <v>2</v>
      </c>
      <c r="F23" s="21">
        <v>2</v>
      </c>
      <c r="G23" s="3">
        <v>6</v>
      </c>
      <c r="H23" s="3">
        <v>2</v>
      </c>
      <c r="I23" s="3">
        <v>6</v>
      </c>
      <c r="J23" s="21">
        <v>49</v>
      </c>
      <c r="K23" s="3">
        <v>2</v>
      </c>
      <c r="L23" s="3">
        <v>2</v>
      </c>
      <c r="M23" s="3">
        <v>6</v>
      </c>
      <c r="N23" s="21">
        <v>2</v>
      </c>
      <c r="O23" s="3">
        <v>6</v>
      </c>
      <c r="P23" s="3"/>
      <c r="Q23" s="3"/>
      <c r="R23" s="22"/>
      <c r="S23" s="2"/>
      <c r="T23" s="2"/>
      <c r="U23" s="2"/>
      <c r="V23" s="22"/>
      <c r="W23" s="2"/>
      <c r="X23" s="2"/>
      <c r="Y23" s="2"/>
      <c r="Z23" s="22"/>
      <c r="AA23" s="2"/>
      <c r="AB23" s="2"/>
      <c r="AC23" s="2"/>
      <c r="AD23" s="22"/>
      <c r="AE23" s="2"/>
      <c r="AF23" s="2"/>
      <c r="AG23" s="2"/>
      <c r="AH23" s="22"/>
      <c r="AI23" s="2"/>
      <c r="AJ23" s="3"/>
      <c r="AK23" s="3"/>
      <c r="AL23" s="8">
        <f t="shared" si="1"/>
        <v>87</v>
      </c>
      <c r="AM23" s="13">
        <f>AL23/AL27</f>
        <v>0.46276595744680848</v>
      </c>
      <c r="AN23" s="9"/>
      <c r="AO23" s="12"/>
      <c r="AP23" s="19"/>
    </row>
    <row r="24" spans="1:43" ht="13.5" customHeight="1" x14ac:dyDescent="0.3">
      <c r="A24" s="25" t="s">
        <v>157</v>
      </c>
      <c r="B24" s="15" t="s">
        <v>119</v>
      </c>
      <c r="C24" s="4"/>
      <c r="D24" s="3">
        <v>2</v>
      </c>
      <c r="E24" s="3">
        <v>2</v>
      </c>
      <c r="F24" s="21">
        <v>2</v>
      </c>
      <c r="G24" s="3">
        <v>6</v>
      </c>
      <c r="H24" s="3">
        <v>2</v>
      </c>
      <c r="I24" s="3">
        <v>6</v>
      </c>
      <c r="J24" s="21">
        <v>22</v>
      </c>
      <c r="K24" s="3">
        <v>2</v>
      </c>
      <c r="L24" s="3">
        <v>2</v>
      </c>
      <c r="M24" s="3">
        <v>6</v>
      </c>
      <c r="N24" s="21">
        <v>2</v>
      </c>
      <c r="O24" s="3">
        <v>2</v>
      </c>
      <c r="P24" s="3"/>
      <c r="Q24" s="3"/>
      <c r="R24" s="22"/>
      <c r="S24" s="2"/>
      <c r="T24" s="2"/>
      <c r="U24" s="2"/>
      <c r="V24" s="22"/>
      <c r="W24" s="2"/>
      <c r="X24" s="2"/>
      <c r="Y24" s="2"/>
      <c r="Z24" s="22"/>
      <c r="AA24" s="2"/>
      <c r="AB24" s="2"/>
      <c r="AC24" s="2"/>
      <c r="AD24" s="22"/>
      <c r="AE24" s="2"/>
      <c r="AF24" s="2"/>
      <c r="AG24" s="2"/>
      <c r="AH24" s="22"/>
      <c r="AI24" s="2"/>
      <c r="AJ24" s="3"/>
      <c r="AK24" s="3"/>
      <c r="AL24" s="8">
        <f t="shared" si="1"/>
        <v>56</v>
      </c>
      <c r="AM24" s="13">
        <f>AL24/AL27</f>
        <v>0.2978723404255319</v>
      </c>
      <c r="AN24" s="9"/>
      <c r="AO24" s="12"/>
      <c r="AP24" s="19"/>
    </row>
    <row r="25" spans="1:43" ht="13.5" customHeight="1" x14ac:dyDescent="0.3">
      <c r="A25" s="25" t="s">
        <v>158</v>
      </c>
      <c r="B25" s="15" t="s">
        <v>120</v>
      </c>
      <c r="C25" s="4"/>
      <c r="D25" s="3">
        <v>2</v>
      </c>
      <c r="E25" s="3">
        <v>6</v>
      </c>
      <c r="F25" s="21">
        <v>2</v>
      </c>
      <c r="G25" s="3">
        <v>6</v>
      </c>
      <c r="H25" s="3">
        <v>2</v>
      </c>
      <c r="I25" s="3">
        <v>6</v>
      </c>
      <c r="J25" s="21">
        <v>27</v>
      </c>
      <c r="K25" s="3">
        <v>6</v>
      </c>
      <c r="L25" s="3">
        <v>2</v>
      </c>
      <c r="M25" s="3">
        <v>6</v>
      </c>
      <c r="N25" s="21">
        <v>11</v>
      </c>
      <c r="O25" s="27"/>
      <c r="P25" s="3"/>
      <c r="Q25" s="3"/>
      <c r="R25" s="22"/>
      <c r="S25" s="2"/>
      <c r="T25" s="2"/>
      <c r="U25" s="2"/>
      <c r="V25" s="22"/>
      <c r="W25" s="2"/>
      <c r="X25" s="2"/>
      <c r="Y25" s="2"/>
      <c r="Z25" s="22"/>
      <c r="AA25" s="2"/>
      <c r="AB25" s="2"/>
      <c r="AC25" s="2"/>
      <c r="AD25" s="22"/>
      <c r="AE25" s="2"/>
      <c r="AF25" s="2"/>
      <c r="AG25" s="2"/>
      <c r="AH25" s="22"/>
      <c r="AI25" s="2"/>
      <c r="AJ25" s="3"/>
      <c r="AK25" s="3"/>
      <c r="AL25" s="8">
        <f t="shared" si="1"/>
        <v>76</v>
      </c>
      <c r="AM25" s="13">
        <f>AL25/AL27</f>
        <v>0.40425531914893614</v>
      </c>
      <c r="AN25" s="9"/>
      <c r="AO25" s="12"/>
      <c r="AP25" s="19"/>
    </row>
    <row r="26" spans="1:43" ht="13.5" customHeight="1" x14ac:dyDescent="0.3">
      <c r="A26" s="25" t="s">
        <v>159</v>
      </c>
      <c r="B26" s="15" t="s">
        <v>123</v>
      </c>
      <c r="C26" s="4"/>
      <c r="D26" s="3">
        <v>2</v>
      </c>
      <c r="E26" s="3">
        <v>6</v>
      </c>
      <c r="F26" s="21">
        <v>2</v>
      </c>
      <c r="G26" s="3">
        <v>6</v>
      </c>
      <c r="H26" s="3">
        <v>2</v>
      </c>
      <c r="I26" s="3">
        <v>6</v>
      </c>
      <c r="J26" s="21">
        <v>48</v>
      </c>
      <c r="K26" s="3">
        <v>6</v>
      </c>
      <c r="L26" s="3">
        <v>2</v>
      </c>
      <c r="M26" s="3">
        <v>6</v>
      </c>
      <c r="N26" s="21">
        <v>9</v>
      </c>
      <c r="O26" s="27"/>
      <c r="P26" s="3"/>
      <c r="Q26" s="3"/>
      <c r="R26" s="22"/>
      <c r="S26" s="2"/>
      <c r="T26" s="2"/>
      <c r="U26" s="2"/>
      <c r="V26" s="22"/>
      <c r="W26" s="2"/>
      <c r="X26" s="2"/>
      <c r="Y26" s="2"/>
      <c r="Z26" s="22"/>
      <c r="AA26" s="2"/>
      <c r="AB26" s="2"/>
      <c r="AC26" s="2"/>
      <c r="AD26" s="22"/>
      <c r="AE26" s="2"/>
      <c r="AF26" s="2"/>
      <c r="AG26" s="2"/>
      <c r="AH26" s="22"/>
      <c r="AI26" s="2"/>
      <c r="AJ26" s="3"/>
      <c r="AK26" s="3"/>
      <c r="AL26" s="8">
        <f t="shared" si="1"/>
        <v>95</v>
      </c>
      <c r="AM26" s="13">
        <f>AL26/AL27</f>
        <v>0.50531914893617025</v>
      </c>
      <c r="AN26" s="9"/>
      <c r="AO26" s="12"/>
      <c r="AP26" s="19"/>
    </row>
    <row r="27" spans="1:43" s="1" customFormat="1" ht="13.5" customHeight="1" x14ac:dyDescent="0.3">
      <c r="A27" s="42" t="s">
        <v>1</v>
      </c>
      <c r="B27" s="43"/>
      <c r="C27" s="5"/>
      <c r="D27" s="5">
        <v>2</v>
      </c>
      <c r="E27" s="5">
        <v>6</v>
      </c>
      <c r="F27" s="5">
        <v>2</v>
      </c>
      <c r="G27" s="5">
        <v>6</v>
      </c>
      <c r="H27" s="5">
        <v>2</v>
      </c>
      <c r="I27" s="5">
        <v>6</v>
      </c>
      <c r="J27" s="5">
        <v>32</v>
      </c>
      <c r="K27" s="5">
        <v>6</v>
      </c>
      <c r="L27" s="5">
        <v>2</v>
      </c>
      <c r="M27" s="5">
        <v>6</v>
      </c>
      <c r="N27" s="5">
        <v>12</v>
      </c>
      <c r="O27" s="5">
        <v>6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>
        <v>100</v>
      </c>
      <c r="AL27" s="6">
        <f t="shared" si="1"/>
        <v>188</v>
      </c>
      <c r="AM27" s="14">
        <f>AL27/AL27</f>
        <v>1</v>
      </c>
      <c r="AN27" s="7"/>
      <c r="AO27" s="12"/>
      <c r="AP27" s="19"/>
    </row>
    <row r="28" spans="1:43" s="20" customFormat="1" ht="264.60000000000002" customHeight="1" x14ac:dyDescent="0.3">
      <c r="A28" s="44" t="s">
        <v>12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</row>
    <row r="29" spans="1:43" x14ac:dyDescent="0.3">
      <c r="A29" s="41" t="s">
        <v>169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</row>
    <row r="30" spans="1:43" x14ac:dyDescent="0.3">
      <c r="A30" s="41" t="s">
        <v>168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</row>
    <row r="31" spans="1:43" x14ac:dyDescent="0.3">
      <c r="A31" s="41" t="s">
        <v>178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</row>
  </sheetData>
  <mergeCells count="17">
    <mergeCell ref="AK1:AK2"/>
    <mergeCell ref="AM1:AM2"/>
    <mergeCell ref="AJ1:AJ2"/>
    <mergeCell ref="AL1:AL2"/>
    <mergeCell ref="A29:AP29"/>
    <mergeCell ref="A31:AP31"/>
    <mergeCell ref="A30:AP30"/>
    <mergeCell ref="K1:S1"/>
    <mergeCell ref="T1:AA1"/>
    <mergeCell ref="AB1:AI1"/>
    <mergeCell ref="C1:J1"/>
    <mergeCell ref="A28:AQ28"/>
    <mergeCell ref="AN1:AN2"/>
    <mergeCell ref="AO1:AO2"/>
    <mergeCell ref="A27:B27"/>
    <mergeCell ref="A1:A2"/>
    <mergeCell ref="B1:B2"/>
  </mergeCells>
  <hyperlinks>
    <hyperlink ref="B3" r:id="rId1" display="https://pro.guap.ru/inside/profile/57081" xr:uid="{669B6810-5EF6-431B-95DD-CF4FABB51F2D}"/>
    <hyperlink ref="B4" r:id="rId2" display="https://pro.guap.ru/inside/profile/57117" xr:uid="{5C534A2E-02C3-492A-AC56-29E5242FE8B3}"/>
    <hyperlink ref="B5" r:id="rId3" display="https://pro.guap.ru/inside/profile/57190" xr:uid="{9FB1E8A4-5F70-4AE0-8321-954EF61161A3}"/>
    <hyperlink ref="B6" r:id="rId4" display="https://pro.guap.ru/inside/profile/57266" xr:uid="{BE0A9BF4-744D-4F0A-AE41-B7B8E6BBE187}"/>
    <hyperlink ref="B7" r:id="rId5" display="https://pro.guap.ru/inside/profile/59351" xr:uid="{E1A747BC-2622-44DF-87BC-30A4CD66002E}"/>
    <hyperlink ref="B8" r:id="rId6" display="https://pro.guap.ru/inside/profile/57275" xr:uid="{DB9CB94F-B8E1-4032-B799-05BE5224FA2C}"/>
    <hyperlink ref="B9" r:id="rId7" display="https://pro.guap.ru/inside/profile/56893" xr:uid="{E2A2299F-269D-4B09-9EE3-B2B789A0538A}"/>
    <hyperlink ref="B10" r:id="rId8" display="https://pro.guap.ru/inside/profile/57358" xr:uid="{EFAA603F-9776-4106-9F2D-89506CE81718}"/>
    <hyperlink ref="B11" r:id="rId9" display="https://pro.guap.ru/inside/profile/54150" xr:uid="{DF3383FA-A8FD-44A0-A70B-C3A74235EAC9}"/>
    <hyperlink ref="B12" r:id="rId10" display="https://pro.guap.ru/inside/profile/57436" xr:uid="{B345A120-3597-4658-AB84-83CF90108714}"/>
    <hyperlink ref="B13" r:id="rId11" display="https://pro.guap.ru/inside/profile/57555" xr:uid="{E4E0C154-B5FD-41EA-8BF6-26C43C33120B}"/>
    <hyperlink ref="B14" r:id="rId12" display="https://pro.guap.ru/inside/profile/59600" xr:uid="{E51960DD-9D05-4C32-8793-677D5B90F80F}"/>
    <hyperlink ref="B15" r:id="rId13" display="https://pro.guap.ru/inside/profile/59661" xr:uid="{DC7913FE-F808-44CB-A97D-7918BD1A3A6B}"/>
    <hyperlink ref="B16" r:id="rId14" display="https://pro.guap.ru/inside/profile/57733" xr:uid="{8714D1B0-C644-4900-A088-31A7BCA256FC}"/>
    <hyperlink ref="B17" r:id="rId15" display="https://pro.guap.ru/inside/profile/57892" xr:uid="{8D7E7C49-ED40-4682-BB29-DB5E9832F266}"/>
    <hyperlink ref="B18" r:id="rId16" display="https://pro.guap.ru/inside/profile/57956" xr:uid="{78B657A1-E72B-4EE5-B2E5-029AFEFEA09B}"/>
    <hyperlink ref="B19" r:id="rId17" display="https://pro.guap.ru/inside/profile/59992" xr:uid="{1F39B037-6BDD-44B6-A4DD-44D5DEC61CCF}"/>
    <hyperlink ref="B20" r:id="rId18" display="https://pro.guap.ru/inside/profile/58066" xr:uid="{2D696545-EA82-4955-AE83-F8F5202A1820}"/>
    <hyperlink ref="B21" r:id="rId19" display="https://pro.guap.ru/inside/profile/58102" xr:uid="{3E014D45-67A6-4DFF-B25D-ABC839DA3244}"/>
    <hyperlink ref="B22" r:id="rId20" display="https://pro.guap.ru/inside/profile/58303" xr:uid="{11D5E128-8025-4237-84B6-EE4A5DEE8D28}"/>
    <hyperlink ref="B23" r:id="rId21" display="https://pro.guap.ru/inside/profile/60256" xr:uid="{ACC37D93-17BB-4145-9562-92BB9BA48EA5}"/>
    <hyperlink ref="B24" r:id="rId22" display="https://pro.guap.ru/inside/profile/60273" xr:uid="{4AE29DDE-FAFA-4747-AF60-55A99C75DB8F}"/>
    <hyperlink ref="B25" r:id="rId23" display="https://pro.guap.ru/inside/profile/58382" xr:uid="{E76DAE50-B112-4605-83D9-105142E582DA}"/>
    <hyperlink ref="B26" r:id="rId24" display="https://pro.guap.ru/inside/profile/58402" xr:uid="{17934D2A-D781-471F-92F6-7D0D3E8145EE}"/>
  </hyperlinks>
  <pageMargins left="0.7" right="0.7" top="0.75" bottom="0.75" header="0.3" footer="0.3"/>
  <pageSetup paperSize="9" orientation="portrait" r:id="rId2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6EC99-67F8-4CFD-99D6-870C8FF9CAA1}">
  <dimension ref="A1:AR35"/>
  <sheetViews>
    <sheetView workbookViewId="0">
      <selection activeCell="V15" sqref="V15"/>
    </sheetView>
  </sheetViews>
  <sheetFormatPr defaultColWidth="9.109375" defaultRowHeight="10.199999999999999" x14ac:dyDescent="0.3"/>
  <cols>
    <col min="1" max="1" width="3.33203125" style="16" customWidth="1"/>
    <col min="2" max="2" width="27.33203125" style="17" customWidth="1"/>
    <col min="3" max="36" width="3.77734375" style="1" customWidth="1"/>
    <col min="37" max="38" width="7.77734375" style="1" customWidth="1"/>
    <col min="39" max="39" width="15.77734375" style="16" customWidth="1"/>
    <col min="40" max="40" width="5.77734375" style="16" customWidth="1"/>
    <col min="41" max="44" width="16.77734375" style="16" customWidth="1"/>
    <col min="45" max="16384" width="9.109375" style="16"/>
  </cols>
  <sheetData>
    <row r="1" spans="1:43" s="1" customFormat="1" ht="13.5" customHeight="1" x14ac:dyDescent="0.3">
      <c r="A1" s="51" t="s">
        <v>0</v>
      </c>
      <c r="B1" s="53" t="s">
        <v>132</v>
      </c>
      <c r="C1" s="55" t="s">
        <v>5</v>
      </c>
      <c r="D1" s="56"/>
      <c r="E1" s="56"/>
      <c r="F1" s="56"/>
      <c r="G1" s="56"/>
      <c r="H1" s="56"/>
      <c r="I1" s="56"/>
      <c r="J1" s="56"/>
      <c r="K1" s="57"/>
      <c r="L1" s="55" t="s">
        <v>6</v>
      </c>
      <c r="M1" s="56"/>
      <c r="N1" s="56"/>
      <c r="O1" s="56"/>
      <c r="P1" s="56"/>
      <c r="Q1" s="56"/>
      <c r="R1" s="56"/>
      <c r="S1" s="56"/>
      <c r="T1" s="57"/>
      <c r="U1" s="55" t="s">
        <v>7</v>
      </c>
      <c r="V1" s="56"/>
      <c r="W1" s="56"/>
      <c r="X1" s="56"/>
      <c r="Y1" s="56"/>
      <c r="Z1" s="56"/>
      <c r="AA1" s="56"/>
      <c r="AB1" s="57"/>
      <c r="AC1" s="55" t="s">
        <v>8</v>
      </c>
      <c r="AD1" s="56"/>
      <c r="AE1" s="56"/>
      <c r="AF1" s="56"/>
      <c r="AG1" s="56"/>
      <c r="AH1" s="56"/>
      <c r="AI1" s="56"/>
      <c r="AJ1" s="57"/>
      <c r="AK1" s="45" t="s">
        <v>11</v>
      </c>
      <c r="AL1" s="45" t="s">
        <v>9</v>
      </c>
      <c r="AM1" s="47" t="s">
        <v>2</v>
      </c>
      <c r="AN1" s="47" t="s">
        <v>10</v>
      </c>
      <c r="AO1" s="47" t="s">
        <v>3</v>
      </c>
      <c r="AP1" s="49" t="s">
        <v>4</v>
      </c>
      <c r="AQ1" s="18"/>
    </row>
    <row r="2" spans="1:43" s="1" customFormat="1" ht="13.5" customHeight="1" x14ac:dyDescent="0.3">
      <c r="A2" s="52"/>
      <c r="B2" s="54"/>
      <c r="C2" s="10">
        <v>1</v>
      </c>
      <c r="D2" s="10">
        <v>4</v>
      </c>
      <c r="E2" s="11">
        <v>11</v>
      </c>
      <c r="F2" s="11">
        <v>11</v>
      </c>
      <c r="G2" s="10">
        <v>15</v>
      </c>
      <c r="H2" s="10">
        <v>18</v>
      </c>
      <c r="I2" s="11">
        <v>25</v>
      </c>
      <c r="J2" s="11">
        <v>25</v>
      </c>
      <c r="K2" s="10">
        <v>29</v>
      </c>
      <c r="L2" s="10">
        <v>2</v>
      </c>
      <c r="M2" s="11">
        <v>9</v>
      </c>
      <c r="N2" s="11">
        <v>9</v>
      </c>
      <c r="O2" s="10">
        <v>13</v>
      </c>
      <c r="P2" s="10">
        <v>16</v>
      </c>
      <c r="Q2" s="11">
        <v>23</v>
      </c>
      <c r="R2" s="11">
        <v>23</v>
      </c>
      <c r="S2" s="10">
        <v>27</v>
      </c>
      <c r="T2" s="10">
        <v>30</v>
      </c>
      <c r="U2" s="11">
        <v>6</v>
      </c>
      <c r="V2" s="11">
        <v>6</v>
      </c>
      <c r="W2" s="10">
        <v>10</v>
      </c>
      <c r="X2" s="10">
        <v>13</v>
      </c>
      <c r="Y2" s="11">
        <v>20</v>
      </c>
      <c r="Z2" s="11">
        <v>20</v>
      </c>
      <c r="AA2" s="10">
        <v>24</v>
      </c>
      <c r="AB2" s="10">
        <v>27</v>
      </c>
      <c r="AC2" s="11">
        <v>4</v>
      </c>
      <c r="AD2" s="11">
        <v>4</v>
      </c>
      <c r="AE2" s="10">
        <v>8</v>
      </c>
      <c r="AF2" s="10">
        <v>11</v>
      </c>
      <c r="AG2" s="11">
        <v>18</v>
      </c>
      <c r="AH2" s="11">
        <v>18</v>
      </c>
      <c r="AI2" s="10">
        <v>22</v>
      </c>
      <c r="AJ2" s="10">
        <v>25</v>
      </c>
      <c r="AK2" s="46"/>
      <c r="AL2" s="46"/>
      <c r="AM2" s="48"/>
      <c r="AN2" s="48"/>
      <c r="AO2" s="48"/>
      <c r="AP2" s="50"/>
      <c r="AQ2" s="18"/>
    </row>
    <row r="3" spans="1:43" ht="13.5" customHeight="1" x14ac:dyDescent="0.3">
      <c r="A3" s="25" t="s">
        <v>136</v>
      </c>
      <c r="B3" s="31" t="s">
        <v>14</v>
      </c>
      <c r="C3" s="23">
        <v>2</v>
      </c>
      <c r="D3" s="3"/>
      <c r="E3" s="3">
        <v>2</v>
      </c>
      <c r="F3" s="3">
        <v>2</v>
      </c>
      <c r="G3" s="21">
        <v>19</v>
      </c>
      <c r="H3" s="3">
        <v>6</v>
      </c>
      <c r="I3" s="3">
        <v>2</v>
      </c>
      <c r="J3" s="3">
        <v>6</v>
      </c>
      <c r="K3" s="27"/>
      <c r="L3" s="27"/>
      <c r="M3" s="3">
        <v>2</v>
      </c>
      <c r="N3" s="3">
        <v>6</v>
      </c>
      <c r="O3" s="27"/>
      <c r="P3" s="3">
        <v>6</v>
      </c>
      <c r="Q3" s="3"/>
      <c r="R3" s="2"/>
      <c r="S3" s="22"/>
      <c r="T3" s="2"/>
      <c r="U3" s="2"/>
      <c r="V3" s="2"/>
      <c r="W3" s="22"/>
      <c r="X3" s="2"/>
      <c r="Y3" s="2"/>
      <c r="Z3" s="2"/>
      <c r="AA3" s="22"/>
      <c r="AB3" s="2"/>
      <c r="AC3" s="2"/>
      <c r="AD3" s="2"/>
      <c r="AE3" s="22"/>
      <c r="AF3" s="2"/>
      <c r="AG3" s="2"/>
      <c r="AH3" s="2"/>
      <c r="AI3" s="22"/>
      <c r="AJ3" s="2"/>
      <c r="AK3" s="3"/>
      <c r="AL3" s="3"/>
      <c r="AM3" s="8">
        <f t="shared" ref="AM3:AM28" si="0">SUM(C3:AL3)</f>
        <v>53</v>
      </c>
      <c r="AN3" s="13">
        <f>AM3/AM28</f>
        <v>0.24537037037037038</v>
      </c>
      <c r="AO3" s="9"/>
      <c r="AP3" s="12"/>
      <c r="AQ3" s="19"/>
    </row>
    <row r="4" spans="1:43" ht="13.5" customHeight="1" x14ac:dyDescent="0.3">
      <c r="A4" s="25" t="s">
        <v>137</v>
      </c>
      <c r="B4" s="26" t="s">
        <v>18</v>
      </c>
      <c r="C4" s="23">
        <v>2</v>
      </c>
      <c r="D4" s="3"/>
      <c r="E4" s="3">
        <v>2</v>
      </c>
      <c r="F4" s="3">
        <v>2</v>
      </c>
      <c r="G4" s="21">
        <v>41</v>
      </c>
      <c r="H4" s="3">
        <v>6</v>
      </c>
      <c r="I4" s="3">
        <v>2</v>
      </c>
      <c r="J4" s="3">
        <v>6</v>
      </c>
      <c r="K4" s="27"/>
      <c r="L4" s="27"/>
      <c r="M4" s="37"/>
      <c r="N4" s="37"/>
      <c r="O4" s="27"/>
      <c r="P4" s="27"/>
      <c r="Q4" s="3"/>
      <c r="R4" s="2"/>
      <c r="S4" s="22"/>
      <c r="T4" s="2"/>
      <c r="U4" s="2"/>
      <c r="V4" s="2"/>
      <c r="W4" s="22"/>
      <c r="X4" s="2"/>
      <c r="Y4" s="2"/>
      <c r="Z4" s="2"/>
      <c r="AA4" s="22"/>
      <c r="AB4" s="2"/>
      <c r="AC4" s="2"/>
      <c r="AD4" s="2"/>
      <c r="AE4" s="22"/>
      <c r="AF4" s="2"/>
      <c r="AG4" s="2"/>
      <c r="AH4" s="2"/>
      <c r="AI4" s="22"/>
      <c r="AJ4" s="2"/>
      <c r="AK4" s="3"/>
      <c r="AL4" s="3"/>
      <c r="AM4" s="8">
        <f t="shared" si="0"/>
        <v>61</v>
      </c>
      <c r="AN4" s="13">
        <f>AM4/AM28</f>
        <v>0.28240740740740738</v>
      </c>
      <c r="AO4" s="9" t="s">
        <v>175</v>
      </c>
      <c r="AP4" s="12"/>
      <c r="AQ4" s="19"/>
    </row>
    <row r="5" spans="1:43" ht="13.5" customHeight="1" x14ac:dyDescent="0.3">
      <c r="A5" s="25" t="s">
        <v>138</v>
      </c>
      <c r="B5" s="26" t="s">
        <v>21</v>
      </c>
      <c r="C5" s="23">
        <v>2</v>
      </c>
      <c r="D5" s="3"/>
      <c r="E5" s="3">
        <v>2</v>
      </c>
      <c r="F5" s="3">
        <v>6</v>
      </c>
      <c r="G5" s="21">
        <v>18</v>
      </c>
      <c r="H5" s="3">
        <v>6</v>
      </c>
      <c r="I5" s="3">
        <v>2</v>
      </c>
      <c r="J5" s="3">
        <v>6</v>
      </c>
      <c r="K5" s="21">
        <v>8</v>
      </c>
      <c r="L5" s="3">
        <v>2</v>
      </c>
      <c r="M5" s="27"/>
      <c r="N5" s="27"/>
      <c r="O5" s="21">
        <v>17</v>
      </c>
      <c r="P5" s="3">
        <v>6</v>
      </c>
      <c r="Q5" s="3"/>
      <c r="R5" s="2"/>
      <c r="S5" s="22"/>
      <c r="T5" s="2"/>
      <c r="U5" s="2"/>
      <c r="V5" s="2"/>
      <c r="W5" s="22"/>
      <c r="X5" s="2"/>
      <c r="Y5" s="2"/>
      <c r="Z5" s="2"/>
      <c r="AA5" s="22"/>
      <c r="AB5" s="2"/>
      <c r="AC5" s="2"/>
      <c r="AD5" s="2"/>
      <c r="AE5" s="22"/>
      <c r="AF5" s="2"/>
      <c r="AG5" s="2"/>
      <c r="AH5" s="2"/>
      <c r="AI5" s="22"/>
      <c r="AJ5" s="2"/>
      <c r="AK5" s="3"/>
      <c r="AL5" s="3"/>
      <c r="AM5" s="8">
        <f t="shared" si="0"/>
        <v>75</v>
      </c>
      <c r="AN5" s="13">
        <f>AM5/AM28</f>
        <v>0.34722222222222221</v>
      </c>
      <c r="AO5" s="9"/>
      <c r="AP5" s="12"/>
      <c r="AQ5" s="19"/>
    </row>
    <row r="6" spans="1:43" ht="13.5" customHeight="1" x14ac:dyDescent="0.3">
      <c r="A6" s="25" t="s">
        <v>139</v>
      </c>
      <c r="B6" s="26" t="s">
        <v>24</v>
      </c>
      <c r="C6" s="23">
        <v>2</v>
      </c>
      <c r="D6" s="3"/>
      <c r="E6" s="3">
        <v>2</v>
      </c>
      <c r="F6" s="3">
        <v>2</v>
      </c>
      <c r="G6" s="21">
        <v>20</v>
      </c>
      <c r="H6" s="27"/>
      <c r="I6" s="3">
        <v>2</v>
      </c>
      <c r="J6" s="3">
        <v>6</v>
      </c>
      <c r="K6" s="21">
        <v>8</v>
      </c>
      <c r="L6" s="3">
        <v>2</v>
      </c>
      <c r="M6" s="3">
        <v>2</v>
      </c>
      <c r="N6" s="3">
        <v>6</v>
      </c>
      <c r="O6" s="21">
        <v>15</v>
      </c>
      <c r="P6" s="3">
        <v>6</v>
      </c>
      <c r="Q6" s="3"/>
      <c r="R6" s="2"/>
      <c r="S6" s="22"/>
      <c r="T6" s="2"/>
      <c r="U6" s="2"/>
      <c r="V6" s="2"/>
      <c r="W6" s="22"/>
      <c r="X6" s="2"/>
      <c r="Y6" s="2"/>
      <c r="Z6" s="2"/>
      <c r="AA6" s="22"/>
      <c r="AB6" s="2"/>
      <c r="AC6" s="2"/>
      <c r="AD6" s="2"/>
      <c r="AE6" s="22"/>
      <c r="AF6" s="2"/>
      <c r="AG6" s="2"/>
      <c r="AH6" s="2"/>
      <c r="AI6" s="22"/>
      <c r="AJ6" s="2"/>
      <c r="AK6" s="3"/>
      <c r="AL6" s="3"/>
      <c r="AM6" s="8">
        <f t="shared" si="0"/>
        <v>73</v>
      </c>
      <c r="AN6" s="13">
        <f>AM6/AM28</f>
        <v>0.33796296296296297</v>
      </c>
      <c r="AO6" s="9"/>
      <c r="AP6" s="12"/>
      <c r="AQ6" s="19"/>
    </row>
    <row r="7" spans="1:43" ht="13.5" customHeight="1" x14ac:dyDescent="0.3">
      <c r="A7" s="25" t="s">
        <v>140</v>
      </c>
      <c r="B7" s="26" t="s">
        <v>27</v>
      </c>
      <c r="C7" s="23">
        <v>2</v>
      </c>
      <c r="D7" s="3"/>
      <c r="E7" s="3">
        <v>2</v>
      </c>
      <c r="F7" s="3">
        <v>2</v>
      </c>
      <c r="G7" s="21">
        <v>28</v>
      </c>
      <c r="H7" s="3">
        <v>6</v>
      </c>
      <c r="I7" s="3">
        <v>2</v>
      </c>
      <c r="J7" s="3">
        <v>6</v>
      </c>
      <c r="K7" s="21">
        <v>19</v>
      </c>
      <c r="L7" s="3">
        <v>6</v>
      </c>
      <c r="M7" s="3">
        <v>2</v>
      </c>
      <c r="N7" s="3">
        <v>6</v>
      </c>
      <c r="O7" s="21">
        <v>10</v>
      </c>
      <c r="P7" s="3">
        <v>2</v>
      </c>
      <c r="Q7" s="3"/>
      <c r="R7" s="2"/>
      <c r="S7" s="22"/>
      <c r="T7" s="2"/>
      <c r="U7" s="2"/>
      <c r="V7" s="2"/>
      <c r="W7" s="22"/>
      <c r="X7" s="2"/>
      <c r="Y7" s="2"/>
      <c r="Z7" s="2"/>
      <c r="AA7" s="22"/>
      <c r="AB7" s="2"/>
      <c r="AC7" s="2"/>
      <c r="AD7" s="2"/>
      <c r="AE7" s="22"/>
      <c r="AF7" s="2"/>
      <c r="AG7" s="2"/>
      <c r="AH7" s="2"/>
      <c r="AI7" s="22"/>
      <c r="AJ7" s="2"/>
      <c r="AK7" s="3"/>
      <c r="AL7" s="3"/>
      <c r="AM7" s="8">
        <f t="shared" si="0"/>
        <v>93</v>
      </c>
      <c r="AN7" s="13">
        <f>AM7/AM28</f>
        <v>0.43055555555555558</v>
      </c>
      <c r="AO7" s="9"/>
      <c r="AP7" s="12"/>
      <c r="AQ7" s="19"/>
    </row>
    <row r="8" spans="1:43" ht="13.5" customHeight="1" x14ac:dyDescent="0.3">
      <c r="A8" s="25" t="s">
        <v>141</v>
      </c>
      <c r="B8" s="26" t="s">
        <v>30</v>
      </c>
      <c r="C8" s="23">
        <v>2</v>
      </c>
      <c r="D8" s="3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3"/>
      <c r="R8" s="2"/>
      <c r="S8" s="22"/>
      <c r="T8" s="2"/>
      <c r="U8" s="2"/>
      <c r="V8" s="2"/>
      <c r="W8" s="22"/>
      <c r="X8" s="2"/>
      <c r="Y8" s="2"/>
      <c r="Z8" s="2"/>
      <c r="AA8" s="22"/>
      <c r="AB8" s="2"/>
      <c r="AC8" s="2"/>
      <c r="AD8" s="2"/>
      <c r="AE8" s="22"/>
      <c r="AF8" s="2"/>
      <c r="AG8" s="2"/>
      <c r="AH8" s="2"/>
      <c r="AI8" s="22"/>
      <c r="AJ8" s="2"/>
      <c r="AK8" s="3"/>
      <c r="AL8" s="3"/>
      <c r="AM8" s="8">
        <f t="shared" si="0"/>
        <v>2</v>
      </c>
      <c r="AN8" s="13">
        <f>AM8/AM28</f>
        <v>9.2592592592592587E-3</v>
      </c>
      <c r="AO8" s="9"/>
      <c r="AP8" s="12"/>
      <c r="AQ8" s="19"/>
    </row>
    <row r="9" spans="1:43" ht="13.5" customHeight="1" x14ac:dyDescent="0.3">
      <c r="A9" s="25" t="s">
        <v>142</v>
      </c>
      <c r="B9" s="26" t="s">
        <v>36</v>
      </c>
      <c r="C9" s="23">
        <v>2</v>
      </c>
      <c r="D9" s="3"/>
      <c r="E9" s="3">
        <v>2</v>
      </c>
      <c r="F9" s="3">
        <v>6</v>
      </c>
      <c r="G9" s="21">
        <v>39</v>
      </c>
      <c r="H9" s="3">
        <v>6</v>
      </c>
      <c r="I9" s="3">
        <v>2</v>
      </c>
      <c r="J9" s="3">
        <v>6</v>
      </c>
      <c r="K9" s="27"/>
      <c r="L9" s="27"/>
      <c r="M9" s="37"/>
      <c r="N9" s="37"/>
      <c r="O9" s="21">
        <v>11</v>
      </c>
      <c r="P9" s="3">
        <v>6</v>
      </c>
      <c r="Q9" s="3"/>
      <c r="R9" s="2"/>
      <c r="S9" s="22"/>
      <c r="T9" s="2"/>
      <c r="U9" s="2"/>
      <c r="V9" s="2"/>
      <c r="W9" s="22"/>
      <c r="X9" s="2"/>
      <c r="Y9" s="2"/>
      <c r="Z9" s="2"/>
      <c r="AA9" s="22"/>
      <c r="AB9" s="2"/>
      <c r="AC9" s="2"/>
      <c r="AD9" s="2"/>
      <c r="AE9" s="22"/>
      <c r="AF9" s="2"/>
      <c r="AG9" s="2"/>
      <c r="AH9" s="2"/>
      <c r="AI9" s="22"/>
      <c r="AJ9" s="2"/>
      <c r="AK9" s="3"/>
      <c r="AL9" s="3"/>
      <c r="AM9" s="8">
        <f t="shared" si="0"/>
        <v>80</v>
      </c>
      <c r="AN9" s="13">
        <f>AM9/AM28</f>
        <v>0.37037037037037035</v>
      </c>
      <c r="AO9" s="9" t="s">
        <v>175</v>
      </c>
      <c r="AP9" s="12"/>
      <c r="AQ9" s="19"/>
    </row>
    <row r="10" spans="1:43" ht="13.5" customHeight="1" x14ac:dyDescent="0.3">
      <c r="A10" s="25" t="s">
        <v>143</v>
      </c>
      <c r="B10" s="26" t="s">
        <v>40</v>
      </c>
      <c r="C10" s="23">
        <v>2</v>
      </c>
      <c r="D10" s="3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64"/>
      <c r="Q10" s="3"/>
      <c r="R10" s="2"/>
      <c r="S10" s="22"/>
      <c r="T10" s="2"/>
      <c r="U10" s="2"/>
      <c r="V10" s="2"/>
      <c r="W10" s="22"/>
      <c r="X10" s="2"/>
      <c r="Y10" s="2"/>
      <c r="Z10" s="2"/>
      <c r="AA10" s="22"/>
      <c r="AB10" s="2"/>
      <c r="AC10" s="2"/>
      <c r="AD10" s="2"/>
      <c r="AE10" s="22"/>
      <c r="AF10" s="2"/>
      <c r="AG10" s="2"/>
      <c r="AH10" s="2"/>
      <c r="AI10" s="22"/>
      <c r="AJ10" s="2"/>
      <c r="AK10" s="3"/>
      <c r="AL10" s="3"/>
      <c r="AM10" s="8">
        <f t="shared" si="0"/>
        <v>2</v>
      </c>
      <c r="AN10" s="13">
        <f>AM10/AM28</f>
        <v>9.2592592592592587E-3</v>
      </c>
      <c r="AO10" s="9"/>
      <c r="AP10" s="12"/>
      <c r="AQ10" s="19"/>
    </row>
    <row r="11" spans="1:43" ht="13.5" customHeight="1" x14ac:dyDescent="0.3">
      <c r="A11" s="25" t="s">
        <v>144</v>
      </c>
      <c r="B11" s="26" t="s">
        <v>53</v>
      </c>
      <c r="C11" s="23">
        <v>2</v>
      </c>
      <c r="D11" s="3"/>
      <c r="E11" s="36">
        <v>2</v>
      </c>
      <c r="F11" s="3">
        <v>2</v>
      </c>
      <c r="G11" s="21">
        <v>44</v>
      </c>
      <c r="H11" s="36">
        <v>6</v>
      </c>
      <c r="I11" s="3">
        <v>2</v>
      </c>
      <c r="J11" s="3">
        <v>6</v>
      </c>
      <c r="K11" s="27"/>
      <c r="L11" s="3">
        <v>2</v>
      </c>
      <c r="M11" s="27"/>
      <c r="N11" s="27"/>
      <c r="O11" s="27"/>
      <c r="P11" s="64"/>
      <c r="Q11" s="3"/>
      <c r="R11" s="2"/>
      <c r="S11" s="22"/>
      <c r="T11" s="2"/>
      <c r="U11" s="2"/>
      <c r="V11" s="2"/>
      <c r="W11" s="22"/>
      <c r="X11" s="2"/>
      <c r="Y11" s="2"/>
      <c r="Z11" s="2"/>
      <c r="AA11" s="22"/>
      <c r="AB11" s="2"/>
      <c r="AC11" s="2"/>
      <c r="AD11" s="2"/>
      <c r="AE11" s="22"/>
      <c r="AF11" s="2"/>
      <c r="AG11" s="2"/>
      <c r="AH11" s="2"/>
      <c r="AI11" s="22"/>
      <c r="AJ11" s="2"/>
      <c r="AK11" s="3"/>
      <c r="AL11" s="3"/>
      <c r="AM11" s="8">
        <f t="shared" si="0"/>
        <v>66</v>
      </c>
      <c r="AN11" s="13">
        <f>AM11/AM28</f>
        <v>0.30555555555555558</v>
      </c>
      <c r="AO11" s="9"/>
      <c r="AP11" s="12"/>
      <c r="AQ11" s="19"/>
    </row>
    <row r="12" spans="1:43" ht="13.5" customHeight="1" x14ac:dyDescent="0.3">
      <c r="A12" s="25" t="s">
        <v>145</v>
      </c>
      <c r="B12" s="26" t="s">
        <v>54</v>
      </c>
      <c r="C12" s="23">
        <v>2</v>
      </c>
      <c r="D12" s="3"/>
      <c r="E12" s="3">
        <v>2</v>
      </c>
      <c r="F12" s="3">
        <v>6</v>
      </c>
      <c r="G12" s="21">
        <v>38</v>
      </c>
      <c r="H12" s="3">
        <v>6</v>
      </c>
      <c r="I12" s="3">
        <v>2</v>
      </c>
      <c r="J12" s="3">
        <v>2</v>
      </c>
      <c r="K12" s="21">
        <v>8</v>
      </c>
      <c r="L12" s="3">
        <v>6</v>
      </c>
      <c r="M12" s="3">
        <v>2</v>
      </c>
      <c r="N12" s="3">
        <v>2</v>
      </c>
      <c r="O12" s="21">
        <v>12</v>
      </c>
      <c r="P12" s="64"/>
      <c r="Q12" s="3"/>
      <c r="R12" s="2"/>
      <c r="S12" s="22"/>
      <c r="T12" s="2"/>
      <c r="U12" s="2"/>
      <c r="V12" s="2"/>
      <c r="W12" s="22"/>
      <c r="X12" s="2"/>
      <c r="Y12" s="2"/>
      <c r="Z12" s="2"/>
      <c r="AA12" s="22"/>
      <c r="AB12" s="2"/>
      <c r="AC12" s="2"/>
      <c r="AD12" s="2"/>
      <c r="AE12" s="22"/>
      <c r="AF12" s="2"/>
      <c r="AG12" s="2"/>
      <c r="AH12" s="2"/>
      <c r="AI12" s="22"/>
      <c r="AJ12" s="2"/>
      <c r="AK12" s="3"/>
      <c r="AL12" s="3"/>
      <c r="AM12" s="8">
        <f t="shared" si="0"/>
        <v>88</v>
      </c>
      <c r="AN12" s="13">
        <f>AM12/AM28</f>
        <v>0.40740740740740738</v>
      </c>
      <c r="AO12" s="9"/>
      <c r="AP12" s="12"/>
      <c r="AQ12" s="19"/>
    </row>
    <row r="13" spans="1:43" ht="13.5" customHeight="1" x14ac:dyDescent="0.3">
      <c r="A13" s="25" t="s">
        <v>146</v>
      </c>
      <c r="B13" s="26" t="s">
        <v>56</v>
      </c>
      <c r="C13" s="23">
        <v>2</v>
      </c>
      <c r="D13" s="3"/>
      <c r="E13" s="3">
        <v>2</v>
      </c>
      <c r="F13" s="3">
        <v>6</v>
      </c>
      <c r="G13" s="21">
        <v>19</v>
      </c>
      <c r="H13" s="3">
        <v>6</v>
      </c>
      <c r="I13" s="3">
        <v>2</v>
      </c>
      <c r="J13" s="3">
        <v>6</v>
      </c>
      <c r="K13" s="21">
        <v>16</v>
      </c>
      <c r="L13" s="27"/>
      <c r="M13" s="3">
        <v>2</v>
      </c>
      <c r="N13" s="3">
        <v>6</v>
      </c>
      <c r="O13" s="21">
        <v>22</v>
      </c>
      <c r="P13" s="3">
        <v>6</v>
      </c>
      <c r="Q13" s="3"/>
      <c r="R13" s="2"/>
      <c r="S13" s="22"/>
      <c r="T13" s="2"/>
      <c r="U13" s="2"/>
      <c r="V13" s="2"/>
      <c r="W13" s="22"/>
      <c r="X13" s="2"/>
      <c r="Y13" s="2"/>
      <c r="Z13" s="2"/>
      <c r="AA13" s="22"/>
      <c r="AB13" s="2"/>
      <c r="AC13" s="2"/>
      <c r="AD13" s="2"/>
      <c r="AE13" s="22"/>
      <c r="AF13" s="2"/>
      <c r="AG13" s="2"/>
      <c r="AH13" s="2"/>
      <c r="AI13" s="22"/>
      <c r="AJ13" s="2"/>
      <c r="AK13" s="3"/>
      <c r="AL13" s="3"/>
      <c r="AM13" s="8">
        <f t="shared" si="0"/>
        <v>95</v>
      </c>
      <c r="AN13" s="13">
        <f>AM13/AM28</f>
        <v>0.43981481481481483</v>
      </c>
      <c r="AO13" s="9"/>
      <c r="AP13" s="12"/>
      <c r="AQ13" s="19"/>
    </row>
    <row r="14" spans="1:43" ht="13.5" customHeight="1" x14ac:dyDescent="0.3">
      <c r="A14" s="25" t="s">
        <v>147</v>
      </c>
      <c r="B14" s="26" t="s">
        <v>68</v>
      </c>
      <c r="C14" s="23">
        <v>0</v>
      </c>
      <c r="D14" s="3"/>
      <c r="E14" s="3">
        <v>2</v>
      </c>
      <c r="F14" s="3">
        <v>6</v>
      </c>
      <c r="G14" s="27"/>
      <c r="H14" s="3">
        <v>6</v>
      </c>
      <c r="I14" s="3">
        <v>2</v>
      </c>
      <c r="J14" s="3">
        <v>6</v>
      </c>
      <c r="K14" s="21">
        <v>8</v>
      </c>
      <c r="L14" s="3">
        <v>2</v>
      </c>
      <c r="M14" s="3">
        <v>2</v>
      </c>
      <c r="N14" s="3">
        <v>6</v>
      </c>
      <c r="O14" s="27"/>
      <c r="P14" s="27"/>
      <c r="Q14" s="3"/>
      <c r="R14" s="2"/>
      <c r="S14" s="22"/>
      <c r="T14" s="2"/>
      <c r="U14" s="2"/>
      <c r="V14" s="2"/>
      <c r="W14" s="22"/>
      <c r="X14" s="2"/>
      <c r="Y14" s="2"/>
      <c r="Z14" s="2"/>
      <c r="AA14" s="22"/>
      <c r="AB14" s="2"/>
      <c r="AC14" s="2"/>
      <c r="AD14" s="2"/>
      <c r="AE14" s="22"/>
      <c r="AF14" s="2"/>
      <c r="AG14" s="2"/>
      <c r="AH14" s="2"/>
      <c r="AI14" s="22"/>
      <c r="AJ14" s="2"/>
      <c r="AK14" s="3"/>
      <c r="AL14" s="3"/>
      <c r="AM14" s="8">
        <f t="shared" si="0"/>
        <v>40</v>
      </c>
      <c r="AN14" s="13">
        <f>AM14/AM28</f>
        <v>0.18518518518518517</v>
      </c>
      <c r="AO14" s="9"/>
      <c r="AP14" s="12"/>
      <c r="AQ14" s="19"/>
    </row>
    <row r="15" spans="1:43" ht="13.5" customHeight="1" x14ac:dyDescent="0.3">
      <c r="A15" s="25" t="s">
        <v>148</v>
      </c>
      <c r="B15" s="26" t="s">
        <v>80</v>
      </c>
      <c r="C15" s="23">
        <v>2</v>
      </c>
      <c r="D15" s="3"/>
      <c r="E15" s="3">
        <v>2</v>
      </c>
      <c r="F15" s="3">
        <v>6</v>
      </c>
      <c r="G15" s="21">
        <v>30</v>
      </c>
      <c r="H15" s="3">
        <v>6</v>
      </c>
      <c r="I15" s="27"/>
      <c r="J15" s="27"/>
      <c r="K15" s="21">
        <v>8</v>
      </c>
      <c r="L15" s="3">
        <v>6</v>
      </c>
      <c r="M15" s="27"/>
      <c r="N15" s="27"/>
      <c r="O15" s="21">
        <v>12</v>
      </c>
      <c r="P15" s="27"/>
      <c r="Q15" s="3"/>
      <c r="R15" s="2"/>
      <c r="S15" s="22"/>
      <c r="T15" s="2"/>
      <c r="U15" s="2"/>
      <c r="V15" s="2"/>
      <c r="W15" s="22"/>
      <c r="X15" s="2"/>
      <c r="Y15" s="2"/>
      <c r="Z15" s="2"/>
      <c r="AA15" s="22"/>
      <c r="AB15" s="2"/>
      <c r="AC15" s="2"/>
      <c r="AD15" s="2"/>
      <c r="AE15" s="22"/>
      <c r="AF15" s="2"/>
      <c r="AG15" s="2"/>
      <c r="AH15" s="2"/>
      <c r="AI15" s="22"/>
      <c r="AJ15" s="2"/>
      <c r="AK15" s="3"/>
      <c r="AL15" s="3"/>
      <c r="AM15" s="8">
        <f t="shared" si="0"/>
        <v>72</v>
      </c>
      <c r="AN15" s="13">
        <f>AM15/AM28</f>
        <v>0.33333333333333331</v>
      </c>
      <c r="AO15" s="9"/>
      <c r="AP15" s="12"/>
      <c r="AQ15" s="19"/>
    </row>
    <row r="16" spans="1:43" ht="13.5" customHeight="1" x14ac:dyDescent="0.3">
      <c r="A16" s="25" t="s">
        <v>149</v>
      </c>
      <c r="B16" s="26" t="s">
        <v>179</v>
      </c>
      <c r="C16" s="23">
        <v>2</v>
      </c>
      <c r="D16" s="3"/>
      <c r="E16" s="3">
        <v>2</v>
      </c>
      <c r="F16" s="3">
        <v>6</v>
      </c>
      <c r="G16" s="21">
        <v>30</v>
      </c>
      <c r="H16" s="3">
        <v>6</v>
      </c>
      <c r="I16" s="3">
        <v>2</v>
      </c>
      <c r="J16" s="3">
        <v>6</v>
      </c>
      <c r="K16" s="21">
        <v>13</v>
      </c>
      <c r="L16" s="3">
        <v>6</v>
      </c>
      <c r="M16" s="3">
        <v>2</v>
      </c>
      <c r="N16" s="3">
        <v>6</v>
      </c>
      <c r="O16" s="21">
        <v>18</v>
      </c>
      <c r="P16" s="3">
        <v>6</v>
      </c>
      <c r="Q16" s="3"/>
      <c r="R16" s="2"/>
      <c r="S16" s="22"/>
      <c r="T16" s="2"/>
      <c r="U16" s="2"/>
      <c r="V16" s="2"/>
      <c r="W16" s="22"/>
      <c r="X16" s="2"/>
      <c r="Y16" s="2"/>
      <c r="Z16" s="2"/>
      <c r="AA16" s="22"/>
      <c r="AB16" s="2"/>
      <c r="AC16" s="2"/>
      <c r="AD16" s="2"/>
      <c r="AE16" s="22"/>
      <c r="AF16" s="2"/>
      <c r="AG16" s="2"/>
      <c r="AH16" s="2"/>
      <c r="AI16" s="22"/>
      <c r="AJ16" s="2"/>
      <c r="AK16" s="3"/>
      <c r="AL16" s="3"/>
      <c r="AM16" s="8">
        <f t="shared" si="0"/>
        <v>105</v>
      </c>
      <c r="AN16" s="13">
        <f>AM16/AM28</f>
        <v>0.4861111111111111</v>
      </c>
      <c r="AO16" s="9"/>
      <c r="AP16" s="12"/>
      <c r="AQ16" s="19"/>
    </row>
    <row r="17" spans="1:44" ht="13.5" customHeight="1" x14ac:dyDescent="0.3">
      <c r="A17" s="25" t="s">
        <v>150</v>
      </c>
      <c r="B17" s="26" t="s">
        <v>85</v>
      </c>
      <c r="C17" s="23">
        <v>2</v>
      </c>
      <c r="D17" s="3"/>
      <c r="E17" s="3">
        <v>2</v>
      </c>
      <c r="F17" s="3">
        <v>2</v>
      </c>
      <c r="G17" s="21">
        <v>33</v>
      </c>
      <c r="H17" s="3">
        <v>6</v>
      </c>
      <c r="I17" s="3">
        <v>2</v>
      </c>
      <c r="J17" s="3">
        <v>6</v>
      </c>
      <c r="K17" s="21">
        <v>14</v>
      </c>
      <c r="L17" s="3">
        <v>6</v>
      </c>
      <c r="M17" s="3">
        <v>2</v>
      </c>
      <c r="N17" s="3">
        <v>6</v>
      </c>
      <c r="O17" s="21">
        <v>16</v>
      </c>
      <c r="P17" s="3">
        <v>6</v>
      </c>
      <c r="Q17" s="3"/>
      <c r="R17" s="2"/>
      <c r="S17" s="22"/>
      <c r="T17" s="2"/>
      <c r="U17" s="2"/>
      <c r="V17" s="2"/>
      <c r="W17" s="22"/>
      <c r="X17" s="2"/>
      <c r="Y17" s="2"/>
      <c r="Z17" s="2"/>
      <c r="AA17" s="22"/>
      <c r="AB17" s="2"/>
      <c r="AC17" s="2"/>
      <c r="AD17" s="2"/>
      <c r="AE17" s="22"/>
      <c r="AF17" s="2"/>
      <c r="AG17" s="2"/>
      <c r="AH17" s="2"/>
      <c r="AI17" s="22"/>
      <c r="AJ17" s="2"/>
      <c r="AK17" s="3"/>
      <c r="AL17" s="3"/>
      <c r="AM17" s="8">
        <f t="shared" si="0"/>
        <v>103</v>
      </c>
      <c r="AN17" s="13">
        <f>AM17/AM28</f>
        <v>0.47685185185185186</v>
      </c>
      <c r="AO17" s="9"/>
      <c r="AP17" s="12"/>
      <c r="AQ17" s="19"/>
    </row>
    <row r="18" spans="1:44" ht="13.5" customHeight="1" x14ac:dyDescent="0.3">
      <c r="A18" s="25" t="s">
        <v>151</v>
      </c>
      <c r="B18" s="26" t="s">
        <v>88</v>
      </c>
      <c r="C18" s="23">
        <v>2</v>
      </c>
      <c r="D18" s="3"/>
      <c r="E18" s="3">
        <v>2</v>
      </c>
      <c r="F18" s="3">
        <v>2</v>
      </c>
      <c r="G18" s="21">
        <v>29</v>
      </c>
      <c r="H18" s="3">
        <v>6</v>
      </c>
      <c r="I18" s="27"/>
      <c r="J18" s="27"/>
      <c r="K18" s="21">
        <v>24</v>
      </c>
      <c r="L18" s="3">
        <v>6</v>
      </c>
      <c r="M18" s="3">
        <v>2</v>
      </c>
      <c r="N18" s="3">
        <v>6</v>
      </c>
      <c r="O18" s="21">
        <v>24</v>
      </c>
      <c r="P18" s="3">
        <v>6</v>
      </c>
      <c r="Q18" s="3"/>
      <c r="R18" s="2"/>
      <c r="S18" s="22"/>
      <c r="T18" s="2"/>
      <c r="U18" s="2"/>
      <c r="V18" s="2"/>
      <c r="W18" s="22"/>
      <c r="X18" s="2"/>
      <c r="Y18" s="2"/>
      <c r="Z18" s="2"/>
      <c r="AA18" s="22"/>
      <c r="AB18" s="2"/>
      <c r="AC18" s="2"/>
      <c r="AD18" s="2"/>
      <c r="AE18" s="22"/>
      <c r="AF18" s="2"/>
      <c r="AG18" s="2"/>
      <c r="AH18" s="2"/>
      <c r="AI18" s="22"/>
      <c r="AJ18" s="2"/>
      <c r="AK18" s="3"/>
      <c r="AL18" s="3"/>
      <c r="AM18" s="8">
        <f t="shared" si="0"/>
        <v>109</v>
      </c>
      <c r="AN18" s="13">
        <f>AM18/AM28</f>
        <v>0.50462962962962965</v>
      </c>
      <c r="AO18" s="9"/>
      <c r="AP18" s="12"/>
      <c r="AQ18" s="19"/>
    </row>
    <row r="19" spans="1:44" ht="13.5" customHeight="1" x14ac:dyDescent="0.3">
      <c r="A19" s="25" t="s">
        <v>152</v>
      </c>
      <c r="B19" s="26" t="s">
        <v>90</v>
      </c>
      <c r="C19" s="23">
        <v>2</v>
      </c>
      <c r="D19" s="3"/>
      <c r="E19" s="3">
        <v>2</v>
      </c>
      <c r="F19" s="3">
        <v>6</v>
      </c>
      <c r="G19" s="21">
        <v>21</v>
      </c>
      <c r="H19" s="3">
        <v>6</v>
      </c>
      <c r="I19" s="3">
        <v>2</v>
      </c>
      <c r="J19" s="3">
        <v>6</v>
      </c>
      <c r="K19" s="21">
        <v>17</v>
      </c>
      <c r="L19" s="3">
        <v>6</v>
      </c>
      <c r="M19" s="3">
        <v>2</v>
      </c>
      <c r="N19" s="3">
        <v>6</v>
      </c>
      <c r="O19" s="21">
        <v>25</v>
      </c>
      <c r="P19" s="3">
        <v>2</v>
      </c>
      <c r="Q19" s="3"/>
      <c r="R19" s="2"/>
      <c r="S19" s="22"/>
      <c r="T19" s="2"/>
      <c r="U19" s="2"/>
      <c r="V19" s="2"/>
      <c r="W19" s="22"/>
      <c r="X19" s="2"/>
      <c r="Y19" s="2"/>
      <c r="Z19" s="2"/>
      <c r="AA19" s="22"/>
      <c r="AB19" s="2"/>
      <c r="AC19" s="2"/>
      <c r="AD19" s="2"/>
      <c r="AE19" s="22"/>
      <c r="AF19" s="2"/>
      <c r="AG19" s="2"/>
      <c r="AH19" s="2"/>
      <c r="AI19" s="22"/>
      <c r="AJ19" s="2"/>
      <c r="AK19" s="3"/>
      <c r="AL19" s="3"/>
      <c r="AM19" s="8">
        <f t="shared" si="0"/>
        <v>103</v>
      </c>
      <c r="AN19" s="13">
        <f>AM19/AM28</f>
        <v>0.47685185185185186</v>
      </c>
      <c r="AO19" s="9"/>
      <c r="AP19" s="12"/>
      <c r="AQ19" s="19"/>
    </row>
    <row r="20" spans="1:44" ht="13.5" customHeight="1" x14ac:dyDescent="0.3">
      <c r="A20" s="25" t="s">
        <v>153</v>
      </c>
      <c r="B20" s="26" t="s">
        <v>95</v>
      </c>
      <c r="C20" s="23">
        <v>2</v>
      </c>
      <c r="D20" s="3"/>
      <c r="E20" s="3">
        <v>2</v>
      </c>
      <c r="F20" s="3">
        <v>6</v>
      </c>
      <c r="G20" s="21">
        <v>26</v>
      </c>
      <c r="H20" s="3">
        <v>6</v>
      </c>
      <c r="I20" s="3">
        <v>2</v>
      </c>
      <c r="J20" s="3">
        <v>6</v>
      </c>
      <c r="K20" s="21">
        <v>18</v>
      </c>
      <c r="L20" s="3">
        <v>2</v>
      </c>
      <c r="M20" s="3">
        <v>2</v>
      </c>
      <c r="N20" s="3">
        <v>6</v>
      </c>
      <c r="O20" s="21">
        <v>22</v>
      </c>
      <c r="P20" s="3">
        <v>2</v>
      </c>
      <c r="Q20" s="3"/>
      <c r="R20" s="2"/>
      <c r="S20" s="22"/>
      <c r="T20" s="2"/>
      <c r="U20" s="2"/>
      <c r="V20" s="2"/>
      <c r="W20" s="22"/>
      <c r="X20" s="2"/>
      <c r="Y20" s="2"/>
      <c r="Z20" s="2"/>
      <c r="AA20" s="22"/>
      <c r="AB20" s="2"/>
      <c r="AC20" s="2"/>
      <c r="AD20" s="2"/>
      <c r="AE20" s="22"/>
      <c r="AF20" s="2"/>
      <c r="AG20" s="2"/>
      <c r="AH20" s="2"/>
      <c r="AI20" s="22"/>
      <c r="AJ20" s="2"/>
      <c r="AK20" s="3"/>
      <c r="AL20" s="3"/>
      <c r="AM20" s="8">
        <f t="shared" si="0"/>
        <v>102</v>
      </c>
      <c r="AN20" s="13">
        <f>AM20/AM28</f>
        <v>0.47222222222222221</v>
      </c>
      <c r="AO20" s="9"/>
      <c r="AP20" s="12"/>
      <c r="AQ20" s="19"/>
    </row>
    <row r="21" spans="1:44" ht="13.5" customHeight="1" x14ac:dyDescent="0.3">
      <c r="A21" s="25" t="s">
        <v>154</v>
      </c>
      <c r="B21" s="26" t="s">
        <v>100</v>
      </c>
      <c r="C21" s="23">
        <v>0</v>
      </c>
      <c r="D21" s="3"/>
      <c r="E21" s="3">
        <v>2</v>
      </c>
      <c r="F21" s="3">
        <v>6</v>
      </c>
      <c r="G21" s="21">
        <v>25</v>
      </c>
      <c r="H21" s="3">
        <v>6</v>
      </c>
      <c r="I21" s="27"/>
      <c r="J21" s="27"/>
      <c r="K21" s="21">
        <v>24</v>
      </c>
      <c r="L21" s="27"/>
      <c r="M21" s="3">
        <v>2</v>
      </c>
      <c r="N21" s="3">
        <v>6</v>
      </c>
      <c r="O21" s="21">
        <v>25</v>
      </c>
      <c r="P21" s="3">
        <v>6</v>
      </c>
      <c r="Q21" s="3"/>
      <c r="R21" s="2"/>
      <c r="S21" s="22"/>
      <c r="T21" s="2"/>
      <c r="U21" s="2"/>
      <c r="V21" s="2"/>
      <c r="W21" s="22"/>
      <c r="X21" s="2"/>
      <c r="Y21" s="2"/>
      <c r="Z21" s="2"/>
      <c r="AA21" s="22"/>
      <c r="AB21" s="2"/>
      <c r="AC21" s="2"/>
      <c r="AD21" s="2"/>
      <c r="AE21" s="22"/>
      <c r="AF21" s="2"/>
      <c r="AG21" s="2"/>
      <c r="AH21" s="2"/>
      <c r="AI21" s="22"/>
      <c r="AJ21" s="2"/>
      <c r="AK21" s="3"/>
      <c r="AL21" s="3"/>
      <c r="AM21" s="8">
        <f t="shared" si="0"/>
        <v>102</v>
      </c>
      <c r="AN21" s="13">
        <f>AM21/AM28</f>
        <v>0.47222222222222221</v>
      </c>
      <c r="AO21" s="9"/>
      <c r="AP21" s="12"/>
      <c r="AQ21" s="19"/>
    </row>
    <row r="22" spans="1:44" ht="13.2" customHeight="1" x14ac:dyDescent="0.3">
      <c r="A22" s="25" t="s">
        <v>155</v>
      </c>
      <c r="B22" s="26" t="s">
        <v>103</v>
      </c>
      <c r="C22" s="23">
        <v>0</v>
      </c>
      <c r="D22" s="3"/>
      <c r="E22" s="3">
        <v>2</v>
      </c>
      <c r="F22" s="3">
        <v>6</v>
      </c>
      <c r="G22" s="21">
        <v>51</v>
      </c>
      <c r="H22" s="3">
        <v>6</v>
      </c>
      <c r="I22" s="3">
        <v>2</v>
      </c>
      <c r="J22" s="3">
        <v>6</v>
      </c>
      <c r="K22" s="21">
        <v>16</v>
      </c>
      <c r="L22" s="27"/>
      <c r="M22" s="37"/>
      <c r="N22" s="37"/>
      <c r="O22" s="21">
        <v>9</v>
      </c>
      <c r="P22" s="3">
        <v>6</v>
      </c>
      <c r="Q22" s="3"/>
      <c r="R22" s="2"/>
      <c r="S22" s="22"/>
      <c r="T22" s="2"/>
      <c r="U22" s="2"/>
      <c r="V22" s="2"/>
      <c r="W22" s="22"/>
      <c r="X22" s="2"/>
      <c r="Y22" s="2"/>
      <c r="Z22" s="2"/>
      <c r="AA22" s="22"/>
      <c r="AB22" s="2"/>
      <c r="AC22" s="2"/>
      <c r="AD22" s="2"/>
      <c r="AE22" s="22"/>
      <c r="AF22" s="2"/>
      <c r="AG22" s="2"/>
      <c r="AH22" s="2"/>
      <c r="AI22" s="22"/>
      <c r="AJ22" s="2"/>
      <c r="AK22" s="3"/>
      <c r="AL22" s="3"/>
      <c r="AM22" s="8">
        <f t="shared" si="0"/>
        <v>104</v>
      </c>
      <c r="AN22" s="13">
        <f>AM22/AM28</f>
        <v>0.48148148148148145</v>
      </c>
      <c r="AO22" s="9" t="s">
        <v>175</v>
      </c>
      <c r="AP22" s="12"/>
      <c r="AQ22" s="19"/>
    </row>
    <row r="23" spans="1:44" ht="13.5" customHeight="1" x14ac:dyDescent="0.3">
      <c r="A23" s="25" t="s">
        <v>156</v>
      </c>
      <c r="B23" s="26" t="s">
        <v>110</v>
      </c>
      <c r="C23" s="23">
        <v>2</v>
      </c>
      <c r="D23" s="3"/>
      <c r="E23" s="27"/>
      <c r="F23" s="27"/>
      <c r="G23" s="27"/>
      <c r="H23" s="3">
        <v>6</v>
      </c>
      <c r="I23" s="3">
        <v>2</v>
      </c>
      <c r="J23" s="3">
        <v>6</v>
      </c>
      <c r="K23" s="21">
        <v>8</v>
      </c>
      <c r="L23" s="3">
        <v>2</v>
      </c>
      <c r="M23" s="3">
        <v>2</v>
      </c>
      <c r="N23" s="3">
        <v>6</v>
      </c>
      <c r="O23" s="21">
        <v>16</v>
      </c>
      <c r="P23" s="3">
        <v>2</v>
      </c>
      <c r="Q23" s="3"/>
      <c r="R23" s="2"/>
      <c r="S23" s="22"/>
      <c r="T23" s="2"/>
      <c r="U23" s="2"/>
      <c r="V23" s="2"/>
      <c r="W23" s="22"/>
      <c r="X23" s="2"/>
      <c r="Y23" s="2"/>
      <c r="Z23" s="2"/>
      <c r="AA23" s="22"/>
      <c r="AB23" s="2"/>
      <c r="AC23" s="2"/>
      <c r="AD23" s="2"/>
      <c r="AE23" s="22"/>
      <c r="AF23" s="2"/>
      <c r="AG23" s="2"/>
      <c r="AH23" s="2"/>
      <c r="AI23" s="22"/>
      <c r="AJ23" s="2"/>
      <c r="AK23" s="3"/>
      <c r="AL23" s="3"/>
      <c r="AM23" s="8">
        <f t="shared" si="0"/>
        <v>52</v>
      </c>
      <c r="AN23" s="13">
        <f>AM23/AM28</f>
        <v>0.24074074074074073</v>
      </c>
      <c r="AO23" s="9"/>
      <c r="AP23" s="12"/>
      <c r="AQ23" s="19"/>
    </row>
    <row r="24" spans="1:44" ht="13.5" customHeight="1" x14ac:dyDescent="0.3">
      <c r="A24" s="25" t="s">
        <v>157</v>
      </c>
      <c r="B24" s="26" t="s">
        <v>111</v>
      </c>
      <c r="C24" s="23">
        <v>2</v>
      </c>
      <c r="D24" s="3"/>
      <c r="E24" s="3">
        <v>2</v>
      </c>
      <c r="F24" s="3">
        <v>6</v>
      </c>
      <c r="G24" s="21">
        <v>33</v>
      </c>
      <c r="H24" s="3">
        <v>6</v>
      </c>
      <c r="I24" s="3">
        <v>2</v>
      </c>
      <c r="J24" s="3">
        <v>6</v>
      </c>
      <c r="K24" s="21">
        <v>8</v>
      </c>
      <c r="L24" s="3">
        <v>6</v>
      </c>
      <c r="M24" s="37"/>
      <c r="N24" s="37"/>
      <c r="O24" s="21">
        <v>18</v>
      </c>
      <c r="P24" s="27"/>
      <c r="Q24" s="3"/>
      <c r="R24" s="2"/>
      <c r="S24" s="22"/>
      <c r="T24" s="2"/>
      <c r="U24" s="2"/>
      <c r="V24" s="2"/>
      <c r="W24" s="22"/>
      <c r="X24" s="2"/>
      <c r="Y24" s="2"/>
      <c r="Z24" s="2"/>
      <c r="AA24" s="22"/>
      <c r="AB24" s="2"/>
      <c r="AC24" s="2"/>
      <c r="AD24" s="2"/>
      <c r="AE24" s="22"/>
      <c r="AF24" s="2"/>
      <c r="AG24" s="2"/>
      <c r="AH24" s="2"/>
      <c r="AI24" s="22"/>
      <c r="AJ24" s="2"/>
      <c r="AK24" s="3"/>
      <c r="AL24" s="3"/>
      <c r="AM24" s="8">
        <f t="shared" si="0"/>
        <v>89</v>
      </c>
      <c r="AN24" s="13">
        <f>AM24/AM28</f>
        <v>0.41203703703703703</v>
      </c>
      <c r="AO24" s="9" t="s">
        <v>175</v>
      </c>
      <c r="AP24" s="12"/>
      <c r="AQ24" s="19"/>
    </row>
    <row r="25" spans="1:44" ht="13.5" customHeight="1" x14ac:dyDescent="0.3">
      <c r="A25" s="25" t="s">
        <v>158</v>
      </c>
      <c r="B25" s="26" t="s">
        <v>116</v>
      </c>
      <c r="C25" s="23">
        <v>2</v>
      </c>
      <c r="D25" s="3"/>
      <c r="E25" s="3">
        <v>2</v>
      </c>
      <c r="F25" s="3">
        <v>2</v>
      </c>
      <c r="G25" s="21">
        <v>14</v>
      </c>
      <c r="H25" s="3">
        <v>6</v>
      </c>
      <c r="I25" s="3">
        <v>2</v>
      </c>
      <c r="J25" s="3">
        <v>6</v>
      </c>
      <c r="K25" s="21">
        <v>8</v>
      </c>
      <c r="L25" s="3">
        <v>2</v>
      </c>
      <c r="M25" s="3">
        <v>2</v>
      </c>
      <c r="N25" s="3">
        <v>6</v>
      </c>
      <c r="O25" s="27"/>
      <c r="P25" s="3">
        <v>6</v>
      </c>
      <c r="Q25" s="3"/>
      <c r="R25" s="2"/>
      <c r="S25" s="22"/>
      <c r="T25" s="2"/>
      <c r="U25" s="2"/>
      <c r="V25" s="2"/>
      <c r="W25" s="22"/>
      <c r="X25" s="2"/>
      <c r="Y25" s="2"/>
      <c r="Z25" s="2"/>
      <c r="AA25" s="22"/>
      <c r="AB25" s="2"/>
      <c r="AC25" s="2"/>
      <c r="AD25" s="2"/>
      <c r="AE25" s="22"/>
      <c r="AF25" s="2"/>
      <c r="AG25" s="2"/>
      <c r="AH25" s="2"/>
      <c r="AI25" s="22"/>
      <c r="AJ25" s="2"/>
      <c r="AK25" s="3"/>
      <c r="AL25" s="3"/>
      <c r="AM25" s="8">
        <f t="shared" si="0"/>
        <v>58</v>
      </c>
      <c r="AN25" s="13">
        <f>AM25/AM28</f>
        <v>0.26851851851851855</v>
      </c>
      <c r="AO25" s="9"/>
      <c r="AP25" s="12"/>
      <c r="AQ25" s="19"/>
    </row>
    <row r="26" spans="1:44" ht="13.5" customHeight="1" x14ac:dyDescent="0.3">
      <c r="A26" s="25" t="s">
        <v>159</v>
      </c>
      <c r="B26" s="26" t="s">
        <v>124</v>
      </c>
      <c r="C26" s="23">
        <v>2</v>
      </c>
      <c r="D26" s="3"/>
      <c r="E26" s="3">
        <v>2</v>
      </c>
      <c r="F26" s="3">
        <v>6</v>
      </c>
      <c r="G26" s="21">
        <v>26</v>
      </c>
      <c r="H26" s="3">
        <v>6</v>
      </c>
      <c r="I26" s="3">
        <v>2</v>
      </c>
      <c r="J26" s="3">
        <v>6</v>
      </c>
      <c r="K26" s="21">
        <v>16</v>
      </c>
      <c r="L26" s="3">
        <v>6</v>
      </c>
      <c r="M26" s="3">
        <v>2</v>
      </c>
      <c r="N26" s="3">
        <v>6</v>
      </c>
      <c r="O26" s="21">
        <v>10</v>
      </c>
      <c r="P26" s="3">
        <v>2</v>
      </c>
      <c r="Q26" s="3"/>
      <c r="R26" s="2"/>
      <c r="S26" s="22"/>
      <c r="T26" s="2"/>
      <c r="U26" s="2"/>
      <c r="V26" s="2"/>
      <c r="W26" s="22"/>
      <c r="X26" s="2"/>
      <c r="Y26" s="2"/>
      <c r="Z26" s="2"/>
      <c r="AA26" s="22"/>
      <c r="AB26" s="2"/>
      <c r="AC26" s="2"/>
      <c r="AD26" s="2"/>
      <c r="AE26" s="22"/>
      <c r="AF26" s="2"/>
      <c r="AG26" s="2"/>
      <c r="AH26" s="2"/>
      <c r="AI26" s="22"/>
      <c r="AJ26" s="2"/>
      <c r="AK26" s="3"/>
      <c r="AL26" s="3"/>
      <c r="AM26" s="8">
        <f t="shared" si="0"/>
        <v>92</v>
      </c>
      <c r="AN26" s="13">
        <f>AM26/AM28</f>
        <v>0.42592592592592593</v>
      </c>
      <c r="AO26" s="9"/>
      <c r="AP26" s="12"/>
      <c r="AQ26" s="19"/>
    </row>
    <row r="27" spans="1:44" ht="13.5" customHeight="1" x14ac:dyDescent="0.3">
      <c r="A27" s="25" t="s">
        <v>160</v>
      </c>
      <c r="B27" s="26" t="s">
        <v>129</v>
      </c>
      <c r="C27" s="23">
        <v>2</v>
      </c>
      <c r="D27" s="3"/>
      <c r="E27" s="3">
        <v>2</v>
      </c>
      <c r="F27" s="3">
        <v>6</v>
      </c>
      <c r="G27" s="21">
        <v>26</v>
      </c>
      <c r="H27" s="3">
        <v>6</v>
      </c>
      <c r="I27" s="3">
        <v>2</v>
      </c>
      <c r="J27" s="3">
        <v>6</v>
      </c>
      <c r="K27" s="21">
        <v>8</v>
      </c>
      <c r="L27" s="3">
        <v>6</v>
      </c>
      <c r="M27" s="3">
        <v>2</v>
      </c>
      <c r="N27" s="3">
        <v>6</v>
      </c>
      <c r="O27" s="21">
        <v>25</v>
      </c>
      <c r="P27" s="3">
        <v>6</v>
      </c>
      <c r="Q27" s="3"/>
      <c r="R27" s="2"/>
      <c r="S27" s="22"/>
      <c r="T27" s="2"/>
      <c r="U27" s="2"/>
      <c r="V27" s="2"/>
      <c r="W27" s="22"/>
      <c r="X27" s="2"/>
      <c r="Y27" s="2"/>
      <c r="Z27" s="2"/>
      <c r="AA27" s="22"/>
      <c r="AB27" s="2"/>
      <c r="AC27" s="2"/>
      <c r="AD27" s="2"/>
      <c r="AE27" s="22"/>
      <c r="AF27" s="2"/>
      <c r="AG27" s="2"/>
      <c r="AH27" s="2"/>
      <c r="AI27" s="22"/>
      <c r="AJ27" s="2"/>
      <c r="AK27" s="3"/>
      <c r="AL27" s="3"/>
      <c r="AM27" s="8">
        <f t="shared" si="0"/>
        <v>103</v>
      </c>
      <c r="AN27" s="13">
        <f>AM27/AM28</f>
        <v>0.47685185185185186</v>
      </c>
      <c r="AO27" s="9"/>
      <c r="AP27" s="12"/>
      <c r="AQ27" s="19"/>
    </row>
    <row r="28" spans="1:44" s="1" customFormat="1" ht="13.5" customHeight="1" x14ac:dyDescent="0.3">
      <c r="A28" s="42" t="s">
        <v>1</v>
      </c>
      <c r="B28" s="43"/>
      <c r="C28" s="5">
        <v>2</v>
      </c>
      <c r="D28" s="5"/>
      <c r="E28" s="5">
        <v>2</v>
      </c>
      <c r="F28" s="5">
        <v>6</v>
      </c>
      <c r="G28" s="5">
        <v>32</v>
      </c>
      <c r="H28" s="5">
        <v>6</v>
      </c>
      <c r="I28" s="5">
        <v>2</v>
      </c>
      <c r="J28" s="5">
        <v>6</v>
      </c>
      <c r="K28" s="5">
        <v>18</v>
      </c>
      <c r="L28" s="5">
        <v>6</v>
      </c>
      <c r="M28" s="5">
        <v>2</v>
      </c>
      <c r="N28" s="5">
        <v>6</v>
      </c>
      <c r="O28" s="5">
        <v>22</v>
      </c>
      <c r="P28" s="5">
        <v>6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>
        <v>100</v>
      </c>
      <c r="AM28" s="6">
        <f t="shared" si="0"/>
        <v>216</v>
      </c>
      <c r="AN28" s="14">
        <f>AM28/AM28</f>
        <v>1</v>
      </c>
      <c r="AO28" s="7"/>
      <c r="AP28" s="12"/>
      <c r="AQ28" s="19"/>
    </row>
    <row r="29" spans="1:44" s="1" customFormat="1" ht="13.5" customHeight="1" x14ac:dyDescent="0.3">
      <c r="A29" s="58" t="s">
        <v>162</v>
      </c>
      <c r="B29" s="58"/>
      <c r="AM29" s="32"/>
      <c r="AN29" s="33"/>
      <c r="AO29" s="34"/>
      <c r="AP29" s="19"/>
      <c r="AQ29" s="19"/>
    </row>
    <row r="30" spans="1:44" s="1" customFormat="1" ht="13.5" customHeight="1" x14ac:dyDescent="0.3">
      <c r="A30" s="38"/>
      <c r="B30" s="38"/>
      <c r="L30" s="40"/>
      <c r="M30" s="16" t="s">
        <v>173</v>
      </c>
      <c r="N30" s="16"/>
      <c r="O30" s="16"/>
      <c r="P30" s="16"/>
      <c r="Q30" s="16"/>
      <c r="R30" s="16"/>
      <c r="S30" s="16"/>
      <c r="T30" s="16"/>
      <c r="AB30" s="39"/>
      <c r="AC30" s="39"/>
      <c r="AD30" s="39"/>
      <c r="AE30" s="39"/>
      <c r="AF30" s="19"/>
    </row>
    <row r="31" spans="1:44" s="35" customFormat="1" ht="264.60000000000002" customHeight="1" x14ac:dyDescent="0.3">
      <c r="A31" s="59" t="s">
        <v>12</v>
      </c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</row>
    <row r="32" spans="1:44" x14ac:dyDescent="0.3">
      <c r="A32" s="41" t="s">
        <v>163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</row>
    <row r="33" spans="1:42" x14ac:dyDescent="0.3">
      <c r="A33" s="41" t="s">
        <v>166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</row>
    <row r="34" spans="1:42" x14ac:dyDescent="0.3">
      <c r="A34" s="16" t="s">
        <v>170</v>
      </c>
      <c r="B34" s="16" t="s">
        <v>171</v>
      </c>
    </row>
    <row r="35" spans="1:42" x14ac:dyDescent="0.3">
      <c r="A35" s="16" t="s">
        <v>180</v>
      </c>
      <c r="B35" s="16" t="s">
        <v>181</v>
      </c>
    </row>
  </sheetData>
  <mergeCells count="17">
    <mergeCell ref="A29:B29"/>
    <mergeCell ref="A32:AP32"/>
    <mergeCell ref="A33:AP33"/>
    <mergeCell ref="A28:B28"/>
    <mergeCell ref="A31:AR31"/>
    <mergeCell ref="AO1:AO2"/>
    <mergeCell ref="AP1:AP2"/>
    <mergeCell ref="C1:K1"/>
    <mergeCell ref="L1:T1"/>
    <mergeCell ref="U1:AB1"/>
    <mergeCell ref="AC1:AJ1"/>
    <mergeCell ref="AK1:AK2"/>
    <mergeCell ref="A1:A2"/>
    <mergeCell ref="B1:B2"/>
    <mergeCell ref="AL1:AL2"/>
    <mergeCell ref="AM1:AM2"/>
    <mergeCell ref="AN1:AN2"/>
  </mergeCells>
  <hyperlinks>
    <hyperlink ref="B3" r:id="rId1" display="https://pro.guap.ru/inside/profile/57052" xr:uid="{E7A45119-9443-4DD2-9FA1-65854343B30A}"/>
    <hyperlink ref="B4" r:id="rId2" display="https://pro.guap.ru/inside/profile/57108" xr:uid="{C73085B4-0033-4903-8FF5-52FD06C17DFD}"/>
    <hyperlink ref="B5" r:id="rId3" display="https://pro.guap.ru/inside/profile/57158" xr:uid="{01FC444F-22E1-4095-AC70-5E8D0D71FF43}"/>
    <hyperlink ref="B6" r:id="rId4" display="https://pro.guap.ru/inside/profile/57248" xr:uid="{15BCB5B2-6DC6-4C89-937B-C3F1364C8CB2}"/>
    <hyperlink ref="B7" r:id="rId5" display="https://pro.guap.ru/inside/profile/57273" xr:uid="{A8E8B7E5-4B1E-4623-9DEA-399A0ED84821}"/>
    <hyperlink ref="B8" r:id="rId6" display="https://pro.guap.ru/inside/profile/56774" xr:uid="{253DAF1D-9A78-4B9E-95F1-86028979F6E2}"/>
    <hyperlink ref="B9" r:id="rId7" display="https://pro.guap.ru/inside/profile/57355" xr:uid="{BE7F49DD-EC45-4ADE-BFAD-DE97452D1593}"/>
    <hyperlink ref="B10" r:id="rId8" display="https://pro.guap.ru/inside/profile/57401" xr:uid="{EBCEBC76-3154-4DF1-9D1F-4FD75530D909}"/>
    <hyperlink ref="B11" r:id="rId9" display="https://pro.guap.ru/inside/profile/57502" xr:uid="{51D85862-0B4E-4406-8DDC-212996A99243}"/>
    <hyperlink ref="B12" r:id="rId10" display="https://pro.guap.ru/inside/profile/56906" xr:uid="{3D359224-B58A-453C-BDA7-5A4D64E9C9DC}"/>
    <hyperlink ref="B13" r:id="rId11" display="https://pro.guap.ru/inside/profile/57545" xr:uid="{92D1DAED-B929-4CF4-B386-41509EF66DD9}"/>
    <hyperlink ref="B15" r:id="rId12" display="https://pro.guap.ru/inside/profile/57948" xr:uid="{14A8E4AF-8257-4C44-BBE2-4EF27E541614}"/>
    <hyperlink ref="B16" r:id="rId13" display="https://pro.guap.ru/inside/profile/57956" xr:uid="{A79E12EE-6F36-4727-9BF2-57D39A26319C}"/>
    <hyperlink ref="B17" r:id="rId14" display="https://pro.guap.ru/inside/profile/57968" xr:uid="{3B7E16AE-2C51-41E8-BC2B-D919B54632C2}"/>
    <hyperlink ref="B18" r:id="rId15" display="https://pro.guap.ru/inside/profile/42140" xr:uid="{B7E4E6AD-D8DE-43EC-A358-7EC55F7E3E56}"/>
    <hyperlink ref="B19" r:id="rId16" display="https://pro.guap.ru/inside/profile/59988" xr:uid="{06EE5C93-E3B5-4271-97D8-C93CC1445CDE}"/>
    <hyperlink ref="B20" r:id="rId17" display="https://pro.guap.ru/inside/profile/58095" xr:uid="{B3398ED9-3B33-4801-A9E0-5D02D6C68C4F}"/>
    <hyperlink ref="B23" r:id="rId18" display="https://pro.guap.ru/inside/profile/56955" xr:uid="{84EC0B0C-A1C9-4624-BB9D-70BE10E32580}"/>
    <hyperlink ref="B24" r:id="rId19" display="https://pro.guap.ru/inside/profile/58274" xr:uid="{4572F153-E48E-4094-B0FC-8157903C326D}"/>
    <hyperlink ref="B25" r:id="rId20" display="https://pro.guap.ru/inside/profile/58331" xr:uid="{158010CA-56D6-442D-9F02-6864647323AD}"/>
    <hyperlink ref="B26" r:id="rId21" display="https://pro.guap.ru/inside/profile/58403" xr:uid="{297B76F6-E69C-450D-A1AC-BDDB5704A13A}"/>
    <hyperlink ref="B27" r:id="rId22" display="https://pro.guap.ru/inside/profile/58499" xr:uid="{264AC2A2-ED93-40FC-B7DC-31C811E75EA9}"/>
    <hyperlink ref="B14" r:id="rId23" display="https://pro.guap.ru/inside/profile/57751" xr:uid="{7269B516-BD5B-4A7D-BDEC-69561588B88D}"/>
    <hyperlink ref="B21" r:id="rId24" display="https://pro.guap.ru/inside/profile/58132" xr:uid="{8D6D35F3-C92F-41D2-91D5-C8C914A7BD58}"/>
    <hyperlink ref="B22" r:id="rId25" display="https://pro.guap.ru/inside/profile/58222" xr:uid="{1EE3A3B6-B76E-45CE-85B3-992BAB6F4246}"/>
    <hyperlink ref="A29" r:id="rId26" xr:uid="{3B8AEE7B-0E65-49F8-96C4-8226E486B36B}"/>
  </hyperlinks>
  <pageMargins left="0.7" right="0.7" top="0.75" bottom="0.75" header="0.3" footer="0.3"/>
  <pageSetup paperSize="9" orientation="portrait" r:id="rId2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39C7A-AC6D-4942-B44A-8BCAEBB09B7F}">
  <dimension ref="A1:AR32"/>
  <sheetViews>
    <sheetView topLeftCell="A24" workbookViewId="0">
      <selection activeCell="B35" sqref="B35"/>
    </sheetView>
  </sheetViews>
  <sheetFormatPr defaultColWidth="9.109375" defaultRowHeight="10.199999999999999" x14ac:dyDescent="0.3"/>
  <cols>
    <col min="1" max="1" width="3.33203125" style="16" customWidth="1"/>
    <col min="2" max="2" width="27.33203125" style="17" customWidth="1"/>
    <col min="3" max="36" width="3.77734375" style="1" customWidth="1"/>
    <col min="37" max="38" width="7.77734375" style="1" customWidth="1"/>
    <col min="39" max="39" width="15.77734375" style="16" customWidth="1"/>
    <col min="40" max="40" width="5.77734375" style="16" customWidth="1"/>
    <col min="41" max="44" width="16.77734375" style="16" customWidth="1"/>
    <col min="45" max="16384" width="9.109375" style="16"/>
  </cols>
  <sheetData>
    <row r="1" spans="1:43" s="1" customFormat="1" ht="13.5" customHeight="1" x14ac:dyDescent="0.3">
      <c r="A1" s="51" t="s">
        <v>0</v>
      </c>
      <c r="B1" s="53" t="s">
        <v>133</v>
      </c>
      <c r="C1" s="55" t="s">
        <v>5</v>
      </c>
      <c r="D1" s="56"/>
      <c r="E1" s="56"/>
      <c r="F1" s="56"/>
      <c r="G1" s="56"/>
      <c r="H1" s="56"/>
      <c r="I1" s="56"/>
      <c r="J1" s="56"/>
      <c r="K1" s="57"/>
      <c r="L1" s="55" t="s">
        <v>6</v>
      </c>
      <c r="M1" s="56"/>
      <c r="N1" s="56"/>
      <c r="O1" s="56"/>
      <c r="P1" s="56"/>
      <c r="Q1" s="56"/>
      <c r="R1" s="56"/>
      <c r="S1" s="56"/>
      <c r="T1" s="57"/>
      <c r="U1" s="55" t="s">
        <v>7</v>
      </c>
      <c r="V1" s="56"/>
      <c r="W1" s="56"/>
      <c r="X1" s="56"/>
      <c r="Y1" s="56"/>
      <c r="Z1" s="56"/>
      <c r="AA1" s="56"/>
      <c r="AB1" s="57"/>
      <c r="AC1" s="55" t="s">
        <v>8</v>
      </c>
      <c r="AD1" s="56"/>
      <c r="AE1" s="56"/>
      <c r="AF1" s="56"/>
      <c r="AG1" s="56"/>
      <c r="AH1" s="56"/>
      <c r="AI1" s="56"/>
      <c r="AJ1" s="57"/>
      <c r="AK1" s="45" t="s">
        <v>11</v>
      </c>
      <c r="AL1" s="45" t="s">
        <v>9</v>
      </c>
      <c r="AM1" s="47" t="s">
        <v>2</v>
      </c>
      <c r="AN1" s="47" t="s">
        <v>10</v>
      </c>
      <c r="AO1" s="47" t="s">
        <v>3</v>
      </c>
      <c r="AP1" s="49" t="s">
        <v>4</v>
      </c>
      <c r="AQ1" s="18"/>
    </row>
    <row r="2" spans="1:43" s="1" customFormat="1" ht="13.5" customHeight="1" x14ac:dyDescent="0.3">
      <c r="A2" s="52"/>
      <c r="B2" s="54"/>
      <c r="C2" s="10">
        <v>4</v>
      </c>
      <c r="D2" s="10">
        <v>4</v>
      </c>
      <c r="E2" s="11">
        <v>11</v>
      </c>
      <c r="F2" s="11">
        <v>11</v>
      </c>
      <c r="G2" s="10">
        <v>18</v>
      </c>
      <c r="H2" s="10">
        <v>18</v>
      </c>
      <c r="I2" s="11">
        <v>25</v>
      </c>
      <c r="J2" s="11">
        <v>25</v>
      </c>
      <c r="K2" s="10">
        <v>2</v>
      </c>
      <c r="L2" s="10">
        <v>2</v>
      </c>
      <c r="M2" s="11">
        <v>9</v>
      </c>
      <c r="N2" s="11">
        <v>9</v>
      </c>
      <c r="O2" s="10">
        <v>16</v>
      </c>
      <c r="P2" s="10">
        <v>16</v>
      </c>
      <c r="Q2" s="11">
        <v>23</v>
      </c>
      <c r="R2" s="11">
        <v>23</v>
      </c>
      <c r="S2" s="10">
        <v>30</v>
      </c>
      <c r="T2" s="10">
        <v>30</v>
      </c>
      <c r="U2" s="11">
        <v>6</v>
      </c>
      <c r="V2" s="11">
        <v>6</v>
      </c>
      <c r="W2" s="10">
        <v>13</v>
      </c>
      <c r="X2" s="10">
        <v>13</v>
      </c>
      <c r="Y2" s="11">
        <v>20</v>
      </c>
      <c r="Z2" s="11">
        <v>20</v>
      </c>
      <c r="AA2" s="10">
        <v>27</v>
      </c>
      <c r="AB2" s="10">
        <v>27</v>
      </c>
      <c r="AC2" s="11">
        <v>4</v>
      </c>
      <c r="AD2" s="11">
        <v>4</v>
      </c>
      <c r="AE2" s="10">
        <v>11</v>
      </c>
      <c r="AF2" s="10">
        <v>11</v>
      </c>
      <c r="AG2" s="11">
        <v>18</v>
      </c>
      <c r="AH2" s="11">
        <v>18</v>
      </c>
      <c r="AI2" s="10">
        <v>25</v>
      </c>
      <c r="AJ2" s="10">
        <v>25</v>
      </c>
      <c r="AK2" s="46"/>
      <c r="AL2" s="46"/>
      <c r="AM2" s="48"/>
      <c r="AN2" s="48"/>
      <c r="AO2" s="48"/>
      <c r="AP2" s="50"/>
      <c r="AQ2" s="18"/>
    </row>
    <row r="3" spans="1:43" ht="13.5" customHeight="1" x14ac:dyDescent="0.3">
      <c r="A3" s="25" t="s">
        <v>136</v>
      </c>
      <c r="B3" s="15" t="s">
        <v>25</v>
      </c>
      <c r="C3" s="2">
        <v>2</v>
      </c>
      <c r="D3" s="21">
        <v>2</v>
      </c>
      <c r="E3" s="3">
        <v>2</v>
      </c>
      <c r="F3" s="3">
        <v>6</v>
      </c>
      <c r="G3" s="27"/>
      <c r="H3" s="27"/>
      <c r="I3" s="3">
        <v>2</v>
      </c>
      <c r="J3" s="3">
        <v>6</v>
      </c>
      <c r="K3" s="3">
        <v>6</v>
      </c>
      <c r="L3" s="21">
        <v>2</v>
      </c>
      <c r="M3" s="3">
        <v>2</v>
      </c>
      <c r="N3" s="3">
        <v>6</v>
      </c>
      <c r="O3" s="27"/>
      <c r="P3" s="21">
        <v>11</v>
      </c>
      <c r="Q3" s="3"/>
      <c r="R3" s="2"/>
      <c r="S3" s="2"/>
      <c r="T3" s="21"/>
      <c r="U3" s="2"/>
      <c r="V3" s="2"/>
      <c r="W3" s="2"/>
      <c r="X3" s="21"/>
      <c r="Y3" s="2"/>
      <c r="Z3" s="2"/>
      <c r="AA3" s="2"/>
      <c r="AB3" s="21"/>
      <c r="AC3" s="2"/>
      <c r="AD3" s="2"/>
      <c r="AE3" s="2"/>
      <c r="AF3" s="21"/>
      <c r="AG3" s="2"/>
      <c r="AH3" s="2"/>
      <c r="AI3" s="2"/>
      <c r="AJ3" s="21"/>
      <c r="AK3" s="3"/>
      <c r="AL3" s="3"/>
      <c r="AM3" s="8">
        <f t="shared" ref="AM3:AM27" si="0">SUM(C3:AL3)</f>
        <v>47</v>
      </c>
      <c r="AN3" s="13">
        <f>AM3/AM27</f>
        <v>0.25824175824175827</v>
      </c>
      <c r="AO3" s="9"/>
      <c r="AP3" s="12"/>
      <c r="AQ3" s="19"/>
    </row>
    <row r="4" spans="1:43" ht="13.5" customHeight="1" x14ac:dyDescent="0.3">
      <c r="A4" s="25" t="s">
        <v>137</v>
      </c>
      <c r="B4" s="15" t="s">
        <v>31</v>
      </c>
      <c r="C4" s="2">
        <v>2</v>
      </c>
      <c r="D4" s="21">
        <v>2</v>
      </c>
      <c r="E4" s="3">
        <v>2</v>
      </c>
      <c r="F4" s="3">
        <v>2</v>
      </c>
      <c r="G4" s="3">
        <v>6</v>
      </c>
      <c r="H4" s="21">
        <v>8</v>
      </c>
      <c r="I4" s="27"/>
      <c r="J4" s="27"/>
      <c r="K4" s="3">
        <v>6</v>
      </c>
      <c r="L4" s="21">
        <v>10</v>
      </c>
      <c r="M4" s="3">
        <v>2</v>
      </c>
      <c r="N4" s="3">
        <v>6</v>
      </c>
      <c r="O4" s="3">
        <v>6</v>
      </c>
      <c r="P4" s="21">
        <v>10</v>
      </c>
      <c r="Q4" s="3"/>
      <c r="R4" s="2"/>
      <c r="S4" s="2"/>
      <c r="T4" s="21"/>
      <c r="U4" s="2"/>
      <c r="V4" s="2"/>
      <c r="W4" s="2"/>
      <c r="X4" s="21"/>
      <c r="Y4" s="2"/>
      <c r="Z4" s="2"/>
      <c r="AA4" s="2"/>
      <c r="AB4" s="21"/>
      <c r="AC4" s="2"/>
      <c r="AD4" s="2"/>
      <c r="AE4" s="2"/>
      <c r="AF4" s="21"/>
      <c r="AG4" s="2"/>
      <c r="AH4" s="2"/>
      <c r="AI4" s="2"/>
      <c r="AJ4" s="21"/>
      <c r="AK4" s="3"/>
      <c r="AL4" s="3"/>
      <c r="AM4" s="8">
        <f t="shared" si="0"/>
        <v>62</v>
      </c>
      <c r="AN4" s="13">
        <f>AM4/AM27</f>
        <v>0.34065934065934067</v>
      </c>
      <c r="AO4" s="9"/>
      <c r="AP4" s="12"/>
      <c r="AQ4" s="19"/>
    </row>
    <row r="5" spans="1:43" ht="13.5" customHeight="1" x14ac:dyDescent="0.3">
      <c r="A5" s="25" t="s">
        <v>138</v>
      </c>
      <c r="B5" s="15" t="s">
        <v>32</v>
      </c>
      <c r="C5" s="2">
        <v>2</v>
      </c>
      <c r="D5" s="21">
        <v>2</v>
      </c>
      <c r="E5" s="3">
        <v>2</v>
      </c>
      <c r="F5" s="3">
        <v>6</v>
      </c>
      <c r="G5" s="3">
        <v>6</v>
      </c>
      <c r="H5" s="21">
        <v>15</v>
      </c>
      <c r="I5" s="27"/>
      <c r="J5" s="27"/>
      <c r="K5" s="3">
        <v>6</v>
      </c>
      <c r="L5" s="21">
        <v>2</v>
      </c>
      <c r="M5" s="3">
        <v>2</v>
      </c>
      <c r="N5" s="3">
        <v>6</v>
      </c>
      <c r="O5" s="3">
        <v>6</v>
      </c>
      <c r="P5" s="21">
        <v>8</v>
      </c>
      <c r="Q5" s="3"/>
      <c r="R5" s="2"/>
      <c r="S5" s="2"/>
      <c r="T5" s="21"/>
      <c r="U5" s="2"/>
      <c r="V5" s="2"/>
      <c r="W5" s="2"/>
      <c r="X5" s="21"/>
      <c r="Y5" s="2"/>
      <c r="Z5" s="2"/>
      <c r="AA5" s="2"/>
      <c r="AB5" s="21"/>
      <c r="AC5" s="2"/>
      <c r="AD5" s="2"/>
      <c r="AE5" s="2"/>
      <c r="AF5" s="21"/>
      <c r="AG5" s="2"/>
      <c r="AH5" s="2"/>
      <c r="AI5" s="2"/>
      <c r="AJ5" s="21"/>
      <c r="AK5" s="3"/>
      <c r="AL5" s="3"/>
      <c r="AM5" s="8">
        <f t="shared" si="0"/>
        <v>63</v>
      </c>
      <c r="AN5" s="13">
        <f>AM5/AM27</f>
        <v>0.34615384615384615</v>
      </c>
      <c r="AO5" s="9"/>
      <c r="AP5" s="12"/>
      <c r="AQ5" s="19"/>
    </row>
    <row r="6" spans="1:43" ht="13.5" customHeight="1" x14ac:dyDescent="0.3">
      <c r="A6" s="25" t="s">
        <v>139</v>
      </c>
      <c r="B6" s="15" t="s">
        <v>38</v>
      </c>
      <c r="C6" s="2">
        <v>2</v>
      </c>
      <c r="D6" s="21">
        <v>2</v>
      </c>
      <c r="E6" s="3">
        <v>2</v>
      </c>
      <c r="F6" s="3">
        <v>2</v>
      </c>
      <c r="G6" s="3">
        <v>6</v>
      </c>
      <c r="H6" s="21">
        <v>11</v>
      </c>
      <c r="I6" s="3">
        <v>2</v>
      </c>
      <c r="J6" s="3">
        <v>6</v>
      </c>
      <c r="K6" s="3">
        <v>6</v>
      </c>
      <c r="L6" s="21">
        <v>2</v>
      </c>
      <c r="M6" s="3">
        <v>2</v>
      </c>
      <c r="N6" s="3">
        <v>6</v>
      </c>
      <c r="O6" s="3">
        <v>6</v>
      </c>
      <c r="P6" s="21">
        <v>2</v>
      </c>
      <c r="Q6" s="3"/>
      <c r="R6" s="2"/>
      <c r="S6" s="2"/>
      <c r="T6" s="21"/>
      <c r="U6" s="2"/>
      <c r="V6" s="2"/>
      <c r="W6" s="2"/>
      <c r="X6" s="21"/>
      <c r="Y6" s="2"/>
      <c r="Z6" s="2"/>
      <c r="AA6" s="2"/>
      <c r="AB6" s="21"/>
      <c r="AC6" s="2"/>
      <c r="AD6" s="2"/>
      <c r="AE6" s="2"/>
      <c r="AF6" s="21"/>
      <c r="AG6" s="2"/>
      <c r="AH6" s="2"/>
      <c r="AI6" s="2"/>
      <c r="AJ6" s="21"/>
      <c r="AK6" s="3"/>
      <c r="AL6" s="3"/>
      <c r="AM6" s="8">
        <f t="shared" si="0"/>
        <v>57</v>
      </c>
      <c r="AN6" s="13">
        <f>AM6/AM27</f>
        <v>0.31318681318681318</v>
      </c>
      <c r="AO6" s="9"/>
      <c r="AP6" s="12"/>
      <c r="AQ6" s="19"/>
    </row>
    <row r="7" spans="1:43" ht="13.5" customHeight="1" x14ac:dyDescent="0.3">
      <c r="A7" s="25" t="s">
        <v>140</v>
      </c>
      <c r="B7" s="15" t="s">
        <v>41</v>
      </c>
      <c r="C7" s="2">
        <v>2</v>
      </c>
      <c r="D7" s="21">
        <v>2</v>
      </c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3"/>
      <c r="R7" s="2"/>
      <c r="S7" s="2"/>
      <c r="T7" s="21"/>
      <c r="U7" s="2"/>
      <c r="V7" s="2"/>
      <c r="W7" s="2"/>
      <c r="X7" s="21"/>
      <c r="Y7" s="2"/>
      <c r="Z7" s="2"/>
      <c r="AA7" s="2"/>
      <c r="AB7" s="21"/>
      <c r="AC7" s="2"/>
      <c r="AD7" s="2"/>
      <c r="AE7" s="2"/>
      <c r="AF7" s="21"/>
      <c r="AG7" s="2"/>
      <c r="AH7" s="2"/>
      <c r="AI7" s="2"/>
      <c r="AJ7" s="21"/>
      <c r="AK7" s="3"/>
      <c r="AL7" s="3"/>
      <c r="AM7" s="8">
        <f t="shared" si="0"/>
        <v>4</v>
      </c>
      <c r="AN7" s="13">
        <f>AM7/AM27</f>
        <v>2.197802197802198E-2</v>
      </c>
      <c r="AO7" s="9"/>
      <c r="AP7" s="12"/>
      <c r="AQ7" s="19"/>
    </row>
    <row r="8" spans="1:43" ht="13.5" customHeight="1" x14ac:dyDescent="0.3">
      <c r="A8" s="25" t="s">
        <v>141</v>
      </c>
      <c r="B8" s="15" t="s">
        <v>48</v>
      </c>
      <c r="C8" s="2">
        <v>2</v>
      </c>
      <c r="D8" s="21">
        <v>2</v>
      </c>
      <c r="E8" s="3">
        <v>2</v>
      </c>
      <c r="F8" s="3">
        <v>2</v>
      </c>
      <c r="G8" s="3">
        <v>6</v>
      </c>
      <c r="H8" s="21">
        <v>7</v>
      </c>
      <c r="I8" s="3">
        <v>2</v>
      </c>
      <c r="J8" s="3">
        <v>6</v>
      </c>
      <c r="K8" s="3">
        <v>6</v>
      </c>
      <c r="L8" s="21">
        <v>2</v>
      </c>
      <c r="M8" s="3">
        <v>2</v>
      </c>
      <c r="N8" s="3">
        <v>6</v>
      </c>
      <c r="O8" s="27"/>
      <c r="P8" s="27"/>
      <c r="Q8" s="3"/>
      <c r="R8" s="2"/>
      <c r="S8" s="2"/>
      <c r="T8" s="21"/>
      <c r="U8" s="2"/>
      <c r="V8" s="2"/>
      <c r="W8" s="2"/>
      <c r="X8" s="21"/>
      <c r="Y8" s="2"/>
      <c r="Z8" s="2"/>
      <c r="AA8" s="2"/>
      <c r="AB8" s="21"/>
      <c r="AC8" s="2"/>
      <c r="AD8" s="2"/>
      <c r="AE8" s="2"/>
      <c r="AF8" s="21"/>
      <c r="AG8" s="2"/>
      <c r="AH8" s="2"/>
      <c r="AI8" s="2"/>
      <c r="AJ8" s="21"/>
      <c r="AK8" s="3"/>
      <c r="AL8" s="3">
        <v>40</v>
      </c>
      <c r="AM8" s="8">
        <f t="shared" si="0"/>
        <v>85</v>
      </c>
      <c r="AN8" s="13">
        <f>AM8/AM27</f>
        <v>0.46703296703296704</v>
      </c>
      <c r="AO8" s="9"/>
      <c r="AP8" s="12"/>
      <c r="AQ8" s="19"/>
    </row>
    <row r="9" spans="1:43" ht="13.5" customHeight="1" x14ac:dyDescent="0.3">
      <c r="A9" s="25" t="s">
        <v>142</v>
      </c>
      <c r="B9" s="15" t="s">
        <v>52</v>
      </c>
      <c r="C9" s="2">
        <v>2</v>
      </c>
      <c r="D9" s="21">
        <v>2</v>
      </c>
      <c r="E9" s="36">
        <v>2</v>
      </c>
      <c r="F9" s="3">
        <v>6</v>
      </c>
      <c r="G9" s="3">
        <v>6</v>
      </c>
      <c r="H9" s="21">
        <v>16</v>
      </c>
      <c r="I9" s="3">
        <v>2</v>
      </c>
      <c r="J9" s="3">
        <v>6</v>
      </c>
      <c r="K9" s="3">
        <v>6</v>
      </c>
      <c r="L9" s="21">
        <v>8</v>
      </c>
      <c r="M9" s="3">
        <v>2</v>
      </c>
      <c r="N9" s="3">
        <v>6</v>
      </c>
      <c r="O9" s="3">
        <v>6</v>
      </c>
      <c r="P9" s="21">
        <v>12</v>
      </c>
      <c r="Q9" s="3"/>
      <c r="R9" s="2"/>
      <c r="S9" s="2"/>
      <c r="T9" s="21"/>
      <c r="U9" s="2"/>
      <c r="V9" s="2"/>
      <c r="W9" s="2"/>
      <c r="X9" s="21"/>
      <c r="Y9" s="2"/>
      <c r="Z9" s="2"/>
      <c r="AA9" s="2"/>
      <c r="AB9" s="21"/>
      <c r="AC9" s="2"/>
      <c r="AD9" s="2"/>
      <c r="AE9" s="2"/>
      <c r="AF9" s="21"/>
      <c r="AG9" s="2"/>
      <c r="AH9" s="2"/>
      <c r="AI9" s="2"/>
      <c r="AJ9" s="21"/>
      <c r="AK9" s="3"/>
      <c r="AL9" s="3"/>
      <c r="AM9" s="8">
        <f t="shared" si="0"/>
        <v>82</v>
      </c>
      <c r="AN9" s="13">
        <f>AM9/AM27</f>
        <v>0.45054945054945056</v>
      </c>
      <c r="AO9" s="9"/>
      <c r="AP9" s="12"/>
      <c r="AQ9" s="19"/>
    </row>
    <row r="10" spans="1:43" ht="13.5" customHeight="1" x14ac:dyDescent="0.3">
      <c r="A10" s="25" t="s">
        <v>143</v>
      </c>
      <c r="B10" s="15" t="s">
        <v>55</v>
      </c>
      <c r="C10" s="2">
        <v>2</v>
      </c>
      <c r="D10" s="21">
        <v>2</v>
      </c>
      <c r="E10" s="3">
        <v>2</v>
      </c>
      <c r="F10" s="3">
        <v>2</v>
      </c>
      <c r="G10" s="27"/>
      <c r="H10" s="27"/>
      <c r="I10" s="27"/>
      <c r="J10" s="27"/>
      <c r="K10" s="3">
        <v>6</v>
      </c>
      <c r="L10" s="21">
        <v>9</v>
      </c>
      <c r="M10" s="27"/>
      <c r="N10" s="27"/>
      <c r="O10" s="27"/>
      <c r="P10" s="27"/>
      <c r="Q10" s="3"/>
      <c r="R10" s="2"/>
      <c r="S10" s="2"/>
      <c r="T10" s="21"/>
      <c r="U10" s="2"/>
      <c r="V10" s="2"/>
      <c r="W10" s="2"/>
      <c r="X10" s="21"/>
      <c r="Y10" s="2"/>
      <c r="Z10" s="2"/>
      <c r="AA10" s="2"/>
      <c r="AB10" s="21"/>
      <c r="AC10" s="2"/>
      <c r="AD10" s="2"/>
      <c r="AE10" s="2"/>
      <c r="AF10" s="21"/>
      <c r="AG10" s="2"/>
      <c r="AH10" s="2"/>
      <c r="AI10" s="2"/>
      <c r="AJ10" s="21"/>
      <c r="AK10" s="3"/>
      <c r="AL10" s="3"/>
      <c r="AM10" s="8">
        <f t="shared" si="0"/>
        <v>23</v>
      </c>
      <c r="AN10" s="13">
        <f>AM10/AM27</f>
        <v>0.12637362637362637</v>
      </c>
      <c r="AO10" s="9"/>
      <c r="AP10" s="12"/>
      <c r="AQ10" s="19"/>
    </row>
    <row r="11" spans="1:43" ht="13.5" customHeight="1" x14ac:dyDescent="0.3">
      <c r="A11" s="25" t="s">
        <v>144</v>
      </c>
      <c r="B11" s="15" t="s">
        <v>59</v>
      </c>
      <c r="C11" s="2">
        <v>2</v>
      </c>
      <c r="D11" s="21">
        <v>2</v>
      </c>
      <c r="E11" s="3">
        <v>2</v>
      </c>
      <c r="F11" s="3">
        <v>6</v>
      </c>
      <c r="G11" s="3">
        <v>6</v>
      </c>
      <c r="H11" s="21">
        <v>27</v>
      </c>
      <c r="I11" s="3">
        <v>2</v>
      </c>
      <c r="J11" s="3">
        <v>2</v>
      </c>
      <c r="K11" s="3">
        <v>6</v>
      </c>
      <c r="L11" s="21">
        <v>12</v>
      </c>
      <c r="M11" s="27"/>
      <c r="N11" s="27"/>
      <c r="O11" s="3">
        <v>6</v>
      </c>
      <c r="P11" s="21">
        <v>11</v>
      </c>
      <c r="Q11" s="3"/>
      <c r="R11" s="2"/>
      <c r="S11" s="2"/>
      <c r="T11" s="21"/>
      <c r="U11" s="2"/>
      <c r="V11" s="2"/>
      <c r="W11" s="2"/>
      <c r="X11" s="21"/>
      <c r="Y11" s="2"/>
      <c r="Z11" s="2"/>
      <c r="AA11" s="2"/>
      <c r="AB11" s="21"/>
      <c r="AC11" s="2"/>
      <c r="AD11" s="2"/>
      <c r="AE11" s="2"/>
      <c r="AF11" s="21"/>
      <c r="AG11" s="2"/>
      <c r="AH11" s="2"/>
      <c r="AI11" s="2"/>
      <c r="AJ11" s="21"/>
      <c r="AK11" s="3"/>
      <c r="AL11" s="3"/>
      <c r="AM11" s="8">
        <f t="shared" si="0"/>
        <v>84</v>
      </c>
      <c r="AN11" s="13">
        <f>AM11/AM27</f>
        <v>0.46153846153846156</v>
      </c>
      <c r="AO11" s="9"/>
      <c r="AP11" s="12"/>
      <c r="AQ11" s="19"/>
    </row>
    <row r="12" spans="1:43" ht="13.5" customHeight="1" x14ac:dyDescent="0.3">
      <c r="A12" s="25" t="s">
        <v>145</v>
      </c>
      <c r="B12" s="15" t="s">
        <v>61</v>
      </c>
      <c r="C12" s="2">
        <v>2</v>
      </c>
      <c r="D12" s="21">
        <v>2</v>
      </c>
      <c r="E12" s="3">
        <v>2</v>
      </c>
      <c r="F12" s="3">
        <v>6</v>
      </c>
      <c r="G12" s="3">
        <v>6</v>
      </c>
      <c r="H12" s="21">
        <v>8</v>
      </c>
      <c r="I12" s="3">
        <v>2</v>
      </c>
      <c r="J12" s="3">
        <v>6</v>
      </c>
      <c r="K12" s="3">
        <v>2</v>
      </c>
      <c r="L12" s="21">
        <v>14</v>
      </c>
      <c r="M12" s="3">
        <v>2</v>
      </c>
      <c r="N12" s="3">
        <v>6</v>
      </c>
      <c r="O12" s="3">
        <v>2</v>
      </c>
      <c r="P12" s="21">
        <v>2</v>
      </c>
      <c r="Q12" s="3"/>
      <c r="R12" s="2"/>
      <c r="S12" s="2"/>
      <c r="T12" s="21"/>
      <c r="U12" s="2"/>
      <c r="V12" s="2"/>
      <c r="W12" s="2"/>
      <c r="X12" s="21"/>
      <c r="Y12" s="2"/>
      <c r="Z12" s="2"/>
      <c r="AA12" s="2"/>
      <c r="AB12" s="21"/>
      <c r="AC12" s="2"/>
      <c r="AD12" s="2"/>
      <c r="AE12" s="2"/>
      <c r="AF12" s="21"/>
      <c r="AG12" s="2"/>
      <c r="AH12" s="2"/>
      <c r="AI12" s="2"/>
      <c r="AJ12" s="21"/>
      <c r="AK12" s="3"/>
      <c r="AL12" s="3"/>
      <c r="AM12" s="8">
        <f t="shared" si="0"/>
        <v>62</v>
      </c>
      <c r="AN12" s="13">
        <f>AM12/AM27</f>
        <v>0.34065934065934067</v>
      </c>
      <c r="AO12" s="9"/>
      <c r="AP12" s="12"/>
      <c r="AQ12" s="19"/>
    </row>
    <row r="13" spans="1:43" ht="13.5" customHeight="1" x14ac:dyDescent="0.3">
      <c r="A13" s="25" t="s">
        <v>146</v>
      </c>
      <c r="B13" s="15" t="s">
        <v>63</v>
      </c>
      <c r="C13" s="2">
        <v>2</v>
      </c>
      <c r="D13" s="21">
        <v>2</v>
      </c>
      <c r="E13" s="3">
        <v>2</v>
      </c>
      <c r="F13" s="3">
        <v>6</v>
      </c>
      <c r="G13" s="3">
        <v>6</v>
      </c>
      <c r="H13" s="21">
        <v>18</v>
      </c>
      <c r="I13" s="3">
        <v>2</v>
      </c>
      <c r="J13" s="3">
        <v>6</v>
      </c>
      <c r="K13" s="3">
        <v>6</v>
      </c>
      <c r="L13" s="21">
        <v>9</v>
      </c>
      <c r="M13" s="3">
        <v>2</v>
      </c>
      <c r="N13" s="3">
        <v>6</v>
      </c>
      <c r="O13" s="3">
        <v>6</v>
      </c>
      <c r="P13" s="21">
        <v>12</v>
      </c>
      <c r="Q13" s="3"/>
      <c r="R13" s="2"/>
      <c r="S13" s="2"/>
      <c r="T13" s="21"/>
      <c r="U13" s="2"/>
      <c r="V13" s="2"/>
      <c r="W13" s="2"/>
      <c r="X13" s="21"/>
      <c r="Y13" s="2"/>
      <c r="Z13" s="2"/>
      <c r="AA13" s="2"/>
      <c r="AB13" s="21"/>
      <c r="AC13" s="2"/>
      <c r="AD13" s="2"/>
      <c r="AE13" s="2"/>
      <c r="AF13" s="21"/>
      <c r="AG13" s="2"/>
      <c r="AH13" s="2"/>
      <c r="AI13" s="2"/>
      <c r="AJ13" s="21"/>
      <c r="AK13" s="3"/>
      <c r="AL13" s="3"/>
      <c r="AM13" s="8">
        <f t="shared" si="0"/>
        <v>85</v>
      </c>
      <c r="AN13" s="13">
        <f>AM13/AM27</f>
        <v>0.46703296703296704</v>
      </c>
      <c r="AO13" s="9"/>
      <c r="AP13" s="12"/>
      <c r="AQ13" s="19"/>
    </row>
    <row r="14" spans="1:43" ht="13.5" customHeight="1" x14ac:dyDescent="0.3">
      <c r="A14" s="25" t="s">
        <v>147</v>
      </c>
      <c r="B14" s="15" t="s">
        <v>65</v>
      </c>
      <c r="C14" s="2">
        <v>2</v>
      </c>
      <c r="D14" s="21">
        <v>2</v>
      </c>
      <c r="E14" s="3">
        <v>2</v>
      </c>
      <c r="F14" s="3">
        <v>6</v>
      </c>
      <c r="G14" s="3">
        <v>6</v>
      </c>
      <c r="H14" s="21">
        <v>17</v>
      </c>
      <c r="I14" s="3">
        <v>2</v>
      </c>
      <c r="J14" s="3">
        <v>6</v>
      </c>
      <c r="K14" s="3">
        <v>2</v>
      </c>
      <c r="L14" s="21">
        <v>8</v>
      </c>
      <c r="M14" s="3">
        <v>2</v>
      </c>
      <c r="N14" s="3">
        <v>6</v>
      </c>
      <c r="O14" s="3">
        <v>6</v>
      </c>
      <c r="P14" s="21">
        <v>2</v>
      </c>
      <c r="Q14" s="3"/>
      <c r="R14" s="2"/>
      <c r="S14" s="2"/>
      <c r="T14" s="21"/>
      <c r="U14" s="2"/>
      <c r="V14" s="2"/>
      <c r="W14" s="2"/>
      <c r="X14" s="21"/>
      <c r="Y14" s="2"/>
      <c r="Z14" s="2"/>
      <c r="AA14" s="2"/>
      <c r="AB14" s="21"/>
      <c r="AC14" s="2"/>
      <c r="AD14" s="2"/>
      <c r="AE14" s="2"/>
      <c r="AF14" s="21"/>
      <c r="AG14" s="2"/>
      <c r="AH14" s="2"/>
      <c r="AI14" s="2"/>
      <c r="AJ14" s="21"/>
      <c r="AK14" s="3"/>
      <c r="AL14" s="3"/>
      <c r="AM14" s="8">
        <f t="shared" si="0"/>
        <v>69</v>
      </c>
      <c r="AN14" s="13">
        <f>AM14/AM27</f>
        <v>0.37912087912087911</v>
      </c>
      <c r="AO14" s="9"/>
      <c r="AP14" s="12"/>
      <c r="AQ14" s="19"/>
    </row>
    <row r="15" spans="1:43" ht="13.5" customHeight="1" x14ac:dyDescent="0.3">
      <c r="A15" s="25" t="s">
        <v>148</v>
      </c>
      <c r="B15" s="15" t="s">
        <v>71</v>
      </c>
      <c r="C15" s="2">
        <v>2</v>
      </c>
      <c r="D15" s="21">
        <v>2</v>
      </c>
      <c r="E15" s="3">
        <v>2</v>
      </c>
      <c r="F15" s="3">
        <v>2</v>
      </c>
      <c r="G15" s="3">
        <v>6</v>
      </c>
      <c r="H15" s="21">
        <v>8</v>
      </c>
      <c r="I15" s="3">
        <v>2</v>
      </c>
      <c r="J15" s="3">
        <v>6</v>
      </c>
      <c r="K15" s="3">
        <v>6</v>
      </c>
      <c r="L15" s="21">
        <v>2</v>
      </c>
      <c r="M15" s="3">
        <v>2</v>
      </c>
      <c r="N15" s="3">
        <v>6</v>
      </c>
      <c r="O15" s="3">
        <v>2</v>
      </c>
      <c r="P15" s="21">
        <v>2</v>
      </c>
      <c r="Q15" s="3"/>
      <c r="R15" s="2"/>
      <c r="S15" s="2"/>
      <c r="T15" s="21"/>
      <c r="U15" s="2"/>
      <c r="V15" s="2"/>
      <c r="W15" s="2"/>
      <c r="X15" s="21"/>
      <c r="Y15" s="2"/>
      <c r="Z15" s="2"/>
      <c r="AA15" s="2"/>
      <c r="AB15" s="21"/>
      <c r="AC15" s="2"/>
      <c r="AD15" s="2"/>
      <c r="AE15" s="2"/>
      <c r="AF15" s="21"/>
      <c r="AG15" s="2"/>
      <c r="AH15" s="2"/>
      <c r="AI15" s="2"/>
      <c r="AJ15" s="21"/>
      <c r="AK15" s="3"/>
      <c r="AL15" s="3">
        <v>100</v>
      </c>
      <c r="AM15" s="8">
        <f t="shared" si="0"/>
        <v>150</v>
      </c>
      <c r="AN15" s="13">
        <f>AM15/AM27</f>
        <v>0.82417582417582413</v>
      </c>
      <c r="AO15" s="9"/>
      <c r="AP15" s="12"/>
      <c r="AQ15" s="19"/>
    </row>
    <row r="16" spans="1:43" ht="13.5" customHeight="1" x14ac:dyDescent="0.3">
      <c r="A16" s="25" t="s">
        <v>149</v>
      </c>
      <c r="B16" s="15" t="s">
        <v>73</v>
      </c>
      <c r="C16" s="2">
        <v>2</v>
      </c>
      <c r="D16" s="21">
        <v>2</v>
      </c>
      <c r="E16" s="3">
        <v>2</v>
      </c>
      <c r="F16" s="3">
        <v>2</v>
      </c>
      <c r="G16" s="3">
        <v>6</v>
      </c>
      <c r="H16" s="21">
        <v>22</v>
      </c>
      <c r="I16" s="3">
        <v>2</v>
      </c>
      <c r="J16" s="3">
        <v>6</v>
      </c>
      <c r="K16" s="3">
        <v>2</v>
      </c>
      <c r="L16" s="21">
        <v>14</v>
      </c>
      <c r="M16" s="3">
        <v>2</v>
      </c>
      <c r="N16" s="3">
        <v>6</v>
      </c>
      <c r="O16" s="3">
        <v>6</v>
      </c>
      <c r="P16" s="21">
        <v>11</v>
      </c>
      <c r="Q16" s="3"/>
      <c r="R16" s="2"/>
      <c r="S16" s="2"/>
      <c r="T16" s="21"/>
      <c r="U16" s="2"/>
      <c r="V16" s="2"/>
      <c r="W16" s="2"/>
      <c r="X16" s="21"/>
      <c r="Y16" s="2"/>
      <c r="Z16" s="2"/>
      <c r="AA16" s="2"/>
      <c r="AB16" s="21"/>
      <c r="AC16" s="2"/>
      <c r="AD16" s="2"/>
      <c r="AE16" s="2"/>
      <c r="AF16" s="21"/>
      <c r="AG16" s="2"/>
      <c r="AH16" s="2"/>
      <c r="AI16" s="2"/>
      <c r="AJ16" s="21"/>
      <c r="AK16" s="3"/>
      <c r="AL16" s="3"/>
      <c r="AM16" s="8">
        <f t="shared" si="0"/>
        <v>85</v>
      </c>
      <c r="AN16" s="13">
        <f>AM16/AM27</f>
        <v>0.46703296703296704</v>
      </c>
      <c r="AO16" s="9"/>
      <c r="AP16" s="12"/>
      <c r="AQ16" s="19"/>
    </row>
    <row r="17" spans="1:44" ht="13.5" customHeight="1" x14ac:dyDescent="0.3">
      <c r="A17" s="25" t="s">
        <v>150</v>
      </c>
      <c r="B17" s="15" t="s">
        <v>74</v>
      </c>
      <c r="C17" s="2">
        <v>2</v>
      </c>
      <c r="D17" s="21">
        <v>2</v>
      </c>
      <c r="E17" s="3">
        <v>2</v>
      </c>
      <c r="F17" s="3">
        <v>2</v>
      </c>
      <c r="G17" s="3">
        <v>6</v>
      </c>
      <c r="H17" s="21">
        <v>13</v>
      </c>
      <c r="I17" s="3">
        <v>2</v>
      </c>
      <c r="J17" s="3">
        <v>6</v>
      </c>
      <c r="K17" s="3">
        <v>2</v>
      </c>
      <c r="L17" s="21">
        <v>11</v>
      </c>
      <c r="M17" s="3">
        <v>2</v>
      </c>
      <c r="N17" s="3">
        <v>6</v>
      </c>
      <c r="O17" s="3">
        <v>2</v>
      </c>
      <c r="P17" s="21">
        <v>2</v>
      </c>
      <c r="Q17" s="3"/>
      <c r="R17" s="2"/>
      <c r="S17" s="2"/>
      <c r="T17" s="21"/>
      <c r="U17" s="2"/>
      <c r="V17" s="2"/>
      <c r="W17" s="2"/>
      <c r="X17" s="21"/>
      <c r="Y17" s="2"/>
      <c r="Z17" s="2"/>
      <c r="AA17" s="2"/>
      <c r="AB17" s="21"/>
      <c r="AC17" s="2"/>
      <c r="AD17" s="2"/>
      <c r="AE17" s="2"/>
      <c r="AF17" s="21"/>
      <c r="AG17" s="2"/>
      <c r="AH17" s="2"/>
      <c r="AI17" s="2"/>
      <c r="AJ17" s="21"/>
      <c r="AK17" s="3"/>
      <c r="AL17" s="3"/>
      <c r="AM17" s="8">
        <f t="shared" si="0"/>
        <v>60</v>
      </c>
      <c r="AN17" s="13">
        <f>AM17/AM27</f>
        <v>0.32967032967032966</v>
      </c>
      <c r="AO17" s="9"/>
      <c r="AP17" s="12"/>
      <c r="AQ17" s="19"/>
    </row>
    <row r="18" spans="1:44" ht="13.5" customHeight="1" x14ac:dyDescent="0.3">
      <c r="A18" s="25" t="s">
        <v>151</v>
      </c>
      <c r="B18" s="15" t="s">
        <v>78</v>
      </c>
      <c r="C18" s="2">
        <v>2</v>
      </c>
      <c r="D18" s="21">
        <v>2</v>
      </c>
      <c r="E18" s="3">
        <v>2</v>
      </c>
      <c r="F18" s="3">
        <v>2</v>
      </c>
      <c r="G18" s="3">
        <v>6</v>
      </c>
      <c r="H18" s="21">
        <v>11</v>
      </c>
      <c r="I18" s="3">
        <v>2</v>
      </c>
      <c r="J18" s="3">
        <v>6</v>
      </c>
      <c r="K18" s="3">
        <v>6</v>
      </c>
      <c r="L18" s="21">
        <v>9</v>
      </c>
      <c r="M18" s="3">
        <v>2</v>
      </c>
      <c r="N18" s="3">
        <v>6</v>
      </c>
      <c r="O18" s="3">
        <v>6</v>
      </c>
      <c r="P18" s="21">
        <v>2</v>
      </c>
      <c r="Q18" s="3"/>
      <c r="R18" s="2"/>
      <c r="S18" s="2"/>
      <c r="T18" s="21"/>
      <c r="U18" s="2"/>
      <c r="V18" s="2"/>
      <c r="W18" s="2"/>
      <c r="X18" s="21"/>
      <c r="Y18" s="2"/>
      <c r="Z18" s="2"/>
      <c r="AA18" s="2"/>
      <c r="AB18" s="21"/>
      <c r="AC18" s="2"/>
      <c r="AD18" s="2"/>
      <c r="AE18" s="2"/>
      <c r="AF18" s="21"/>
      <c r="AG18" s="2"/>
      <c r="AH18" s="2"/>
      <c r="AI18" s="2"/>
      <c r="AJ18" s="21"/>
      <c r="AK18" s="3"/>
      <c r="AL18" s="3"/>
      <c r="AM18" s="8">
        <f t="shared" si="0"/>
        <v>64</v>
      </c>
      <c r="AN18" s="13">
        <f>AM18/AM27</f>
        <v>0.35164835164835168</v>
      </c>
      <c r="AO18" s="9"/>
      <c r="AP18" s="12"/>
      <c r="AQ18" s="19"/>
    </row>
    <row r="19" spans="1:44" ht="13.5" customHeight="1" x14ac:dyDescent="0.3">
      <c r="A19" s="25" t="s">
        <v>152</v>
      </c>
      <c r="B19" s="15" t="s">
        <v>82</v>
      </c>
      <c r="C19" s="2">
        <v>2</v>
      </c>
      <c r="D19" s="21">
        <v>2</v>
      </c>
      <c r="E19" s="3">
        <v>2</v>
      </c>
      <c r="F19" s="3">
        <v>6</v>
      </c>
      <c r="G19" s="3">
        <v>6</v>
      </c>
      <c r="H19" s="21">
        <v>9</v>
      </c>
      <c r="I19" s="3">
        <v>2</v>
      </c>
      <c r="J19" s="3">
        <v>6</v>
      </c>
      <c r="K19" s="3">
        <v>6</v>
      </c>
      <c r="L19" s="21">
        <v>8</v>
      </c>
      <c r="M19" s="3">
        <v>2</v>
      </c>
      <c r="N19" s="3">
        <v>6</v>
      </c>
      <c r="O19" s="3">
        <v>2</v>
      </c>
      <c r="P19" s="21">
        <v>2</v>
      </c>
      <c r="Q19" s="3"/>
      <c r="R19" s="2"/>
      <c r="S19" s="2"/>
      <c r="T19" s="21"/>
      <c r="U19" s="2"/>
      <c r="V19" s="2"/>
      <c r="W19" s="2"/>
      <c r="X19" s="21"/>
      <c r="Y19" s="2"/>
      <c r="Z19" s="2"/>
      <c r="AA19" s="2"/>
      <c r="AB19" s="21"/>
      <c r="AC19" s="2"/>
      <c r="AD19" s="2"/>
      <c r="AE19" s="2"/>
      <c r="AF19" s="21"/>
      <c r="AG19" s="2"/>
      <c r="AH19" s="2"/>
      <c r="AI19" s="2"/>
      <c r="AJ19" s="21"/>
      <c r="AK19" s="3"/>
      <c r="AL19" s="3"/>
      <c r="AM19" s="8">
        <f t="shared" si="0"/>
        <v>61</v>
      </c>
      <c r="AN19" s="13">
        <f>AM19/AM27</f>
        <v>0.33516483516483514</v>
      </c>
      <c r="AO19" s="9"/>
      <c r="AP19" s="12"/>
      <c r="AQ19" s="19"/>
    </row>
    <row r="20" spans="1:44" ht="13.5" customHeight="1" x14ac:dyDescent="0.3">
      <c r="A20" s="25" t="s">
        <v>153</v>
      </c>
      <c r="B20" s="15" t="s">
        <v>92</v>
      </c>
      <c r="C20" s="2">
        <v>2</v>
      </c>
      <c r="D20" s="21">
        <v>2</v>
      </c>
      <c r="E20" s="3">
        <v>2</v>
      </c>
      <c r="F20" s="3">
        <v>6</v>
      </c>
      <c r="G20" s="3">
        <v>6</v>
      </c>
      <c r="H20" s="21">
        <v>10</v>
      </c>
      <c r="I20" s="27"/>
      <c r="J20" s="27"/>
      <c r="K20" s="3">
        <v>6</v>
      </c>
      <c r="L20" s="21">
        <v>7</v>
      </c>
      <c r="M20" s="3">
        <v>2</v>
      </c>
      <c r="N20" s="3">
        <v>6</v>
      </c>
      <c r="O20" s="3">
        <v>2</v>
      </c>
      <c r="P20" s="21">
        <v>2</v>
      </c>
      <c r="Q20" s="3"/>
      <c r="R20" s="2"/>
      <c r="S20" s="2"/>
      <c r="T20" s="21"/>
      <c r="U20" s="2"/>
      <c r="V20" s="2"/>
      <c r="W20" s="2"/>
      <c r="X20" s="21"/>
      <c r="Y20" s="2"/>
      <c r="Z20" s="2"/>
      <c r="AA20" s="2"/>
      <c r="AB20" s="21"/>
      <c r="AC20" s="2"/>
      <c r="AD20" s="2"/>
      <c r="AE20" s="2"/>
      <c r="AF20" s="21"/>
      <c r="AG20" s="2"/>
      <c r="AH20" s="2"/>
      <c r="AI20" s="2"/>
      <c r="AJ20" s="21"/>
      <c r="AK20" s="3"/>
      <c r="AL20" s="3"/>
      <c r="AM20" s="8">
        <f t="shared" si="0"/>
        <v>53</v>
      </c>
      <c r="AN20" s="13">
        <f>AM20/AM27</f>
        <v>0.29120879120879123</v>
      </c>
      <c r="AO20" s="9"/>
      <c r="AP20" s="12"/>
      <c r="AQ20" s="19"/>
    </row>
    <row r="21" spans="1:44" ht="13.5" customHeight="1" x14ac:dyDescent="0.3">
      <c r="A21" s="25" t="s">
        <v>154</v>
      </c>
      <c r="B21" s="15" t="s">
        <v>98</v>
      </c>
      <c r="C21" s="2">
        <v>2</v>
      </c>
      <c r="D21" s="21">
        <v>2</v>
      </c>
      <c r="E21" s="3">
        <v>2</v>
      </c>
      <c r="F21" s="3">
        <v>6</v>
      </c>
      <c r="G21" s="3">
        <v>6</v>
      </c>
      <c r="H21" s="21">
        <v>14</v>
      </c>
      <c r="I21" s="3">
        <v>2</v>
      </c>
      <c r="J21" s="3">
        <v>6</v>
      </c>
      <c r="K21" s="3">
        <v>6</v>
      </c>
      <c r="L21" s="21">
        <v>2</v>
      </c>
      <c r="M21" s="3">
        <v>2</v>
      </c>
      <c r="N21" s="3">
        <v>6</v>
      </c>
      <c r="O21" s="3">
        <v>6</v>
      </c>
      <c r="P21" s="21">
        <v>12</v>
      </c>
      <c r="Q21" s="3"/>
      <c r="R21" s="2"/>
      <c r="S21" s="2"/>
      <c r="T21" s="21"/>
      <c r="U21" s="2"/>
      <c r="V21" s="2"/>
      <c r="W21" s="2"/>
      <c r="X21" s="21"/>
      <c r="Y21" s="2"/>
      <c r="Z21" s="2"/>
      <c r="AA21" s="2"/>
      <c r="AB21" s="21"/>
      <c r="AC21" s="2"/>
      <c r="AD21" s="2"/>
      <c r="AE21" s="2"/>
      <c r="AF21" s="21"/>
      <c r="AG21" s="2"/>
      <c r="AH21" s="2"/>
      <c r="AI21" s="2"/>
      <c r="AJ21" s="21"/>
      <c r="AK21" s="3"/>
      <c r="AL21" s="3"/>
      <c r="AM21" s="8">
        <f t="shared" si="0"/>
        <v>74</v>
      </c>
      <c r="AN21" s="13">
        <f>AM21/AM27</f>
        <v>0.40659340659340659</v>
      </c>
      <c r="AO21" s="9"/>
      <c r="AP21" s="12"/>
      <c r="AQ21" s="19"/>
    </row>
    <row r="22" spans="1:44" ht="13.5" customHeight="1" x14ac:dyDescent="0.3">
      <c r="A22" s="25" t="s">
        <v>155</v>
      </c>
      <c r="B22" s="15" t="s">
        <v>101</v>
      </c>
      <c r="C22" s="2">
        <v>2</v>
      </c>
      <c r="D22" s="21">
        <v>2</v>
      </c>
      <c r="E22" s="3">
        <v>2</v>
      </c>
      <c r="F22" s="3">
        <v>6</v>
      </c>
      <c r="G22" s="27"/>
      <c r="H22" s="27"/>
      <c r="I22" s="3">
        <v>2</v>
      </c>
      <c r="J22" s="3">
        <v>6</v>
      </c>
      <c r="K22" s="3">
        <v>2</v>
      </c>
      <c r="L22" s="21">
        <v>8</v>
      </c>
      <c r="M22" s="3">
        <v>2</v>
      </c>
      <c r="N22" s="3">
        <v>6</v>
      </c>
      <c r="O22" s="3">
        <v>6</v>
      </c>
      <c r="P22" s="21">
        <v>2</v>
      </c>
      <c r="Q22" s="3"/>
      <c r="R22" s="2"/>
      <c r="S22" s="2"/>
      <c r="T22" s="21"/>
      <c r="U22" s="2"/>
      <c r="V22" s="2"/>
      <c r="W22" s="2"/>
      <c r="X22" s="21"/>
      <c r="Y22" s="2"/>
      <c r="Z22" s="2"/>
      <c r="AA22" s="2"/>
      <c r="AB22" s="21"/>
      <c r="AC22" s="2"/>
      <c r="AD22" s="2"/>
      <c r="AE22" s="2"/>
      <c r="AF22" s="21"/>
      <c r="AG22" s="2"/>
      <c r="AH22" s="2"/>
      <c r="AI22" s="2"/>
      <c r="AJ22" s="21"/>
      <c r="AK22" s="3"/>
      <c r="AL22" s="3"/>
      <c r="AM22" s="8">
        <f t="shared" si="0"/>
        <v>46</v>
      </c>
      <c r="AN22" s="13">
        <f>AM22/AM27</f>
        <v>0.25274725274725274</v>
      </c>
      <c r="AO22" s="9"/>
      <c r="AP22" s="12"/>
      <c r="AQ22" s="19"/>
    </row>
    <row r="23" spans="1:44" ht="13.5" customHeight="1" x14ac:dyDescent="0.3">
      <c r="A23" s="25" t="s">
        <v>156</v>
      </c>
      <c r="B23" s="15" t="s">
        <v>108</v>
      </c>
      <c r="C23" s="2">
        <v>2</v>
      </c>
      <c r="D23" s="21">
        <v>2</v>
      </c>
      <c r="E23" s="36">
        <v>2</v>
      </c>
      <c r="F23" s="3">
        <v>6</v>
      </c>
      <c r="G23" s="36">
        <v>6</v>
      </c>
      <c r="H23" s="21">
        <v>21</v>
      </c>
      <c r="I23" s="3">
        <v>2</v>
      </c>
      <c r="J23" s="3">
        <v>6</v>
      </c>
      <c r="K23" s="3">
        <v>6</v>
      </c>
      <c r="L23" s="21">
        <v>18</v>
      </c>
      <c r="M23" s="3">
        <v>2</v>
      </c>
      <c r="N23" s="3">
        <v>6</v>
      </c>
      <c r="O23" s="27"/>
      <c r="P23" s="27"/>
      <c r="Q23" s="3"/>
      <c r="R23" s="2"/>
      <c r="S23" s="2"/>
      <c r="T23" s="21"/>
      <c r="U23" s="2"/>
      <c r="V23" s="2"/>
      <c r="W23" s="2"/>
      <c r="X23" s="21"/>
      <c r="Y23" s="2"/>
      <c r="Z23" s="2"/>
      <c r="AA23" s="2"/>
      <c r="AB23" s="21"/>
      <c r="AC23" s="2"/>
      <c r="AD23" s="2"/>
      <c r="AE23" s="2"/>
      <c r="AF23" s="21"/>
      <c r="AG23" s="2"/>
      <c r="AH23" s="2"/>
      <c r="AI23" s="2"/>
      <c r="AJ23" s="21"/>
      <c r="AK23" s="3"/>
      <c r="AL23" s="3"/>
      <c r="AM23" s="8">
        <f t="shared" si="0"/>
        <v>79</v>
      </c>
      <c r="AN23" s="13">
        <f>AM23/AM27</f>
        <v>0.43406593406593408</v>
      </c>
      <c r="AO23" s="9"/>
      <c r="AP23" s="12"/>
      <c r="AQ23" s="19"/>
    </row>
    <row r="24" spans="1:44" ht="13.5" customHeight="1" x14ac:dyDescent="0.3">
      <c r="A24" s="25" t="s">
        <v>157</v>
      </c>
      <c r="B24" s="15" t="s">
        <v>126</v>
      </c>
      <c r="C24" s="2">
        <v>2</v>
      </c>
      <c r="D24" s="21">
        <v>2</v>
      </c>
      <c r="E24" s="3">
        <v>2</v>
      </c>
      <c r="F24" s="3">
        <v>2</v>
      </c>
      <c r="G24" s="3">
        <v>6</v>
      </c>
      <c r="H24" s="21">
        <v>13</v>
      </c>
      <c r="I24" s="3">
        <v>2</v>
      </c>
      <c r="J24" s="3">
        <v>6</v>
      </c>
      <c r="K24" s="3">
        <v>6</v>
      </c>
      <c r="L24" s="21">
        <v>11</v>
      </c>
      <c r="M24" s="3">
        <v>2</v>
      </c>
      <c r="N24" s="3">
        <v>6</v>
      </c>
      <c r="O24" s="3">
        <v>6</v>
      </c>
      <c r="P24" s="21">
        <v>11</v>
      </c>
      <c r="Q24" s="3"/>
      <c r="R24" s="2"/>
      <c r="S24" s="2"/>
      <c r="T24" s="21"/>
      <c r="U24" s="2"/>
      <c r="V24" s="2"/>
      <c r="W24" s="2"/>
      <c r="X24" s="21"/>
      <c r="Y24" s="2"/>
      <c r="Z24" s="2"/>
      <c r="AA24" s="2"/>
      <c r="AB24" s="21"/>
      <c r="AC24" s="2"/>
      <c r="AD24" s="2"/>
      <c r="AE24" s="2"/>
      <c r="AF24" s="21"/>
      <c r="AG24" s="2"/>
      <c r="AH24" s="2"/>
      <c r="AI24" s="2"/>
      <c r="AJ24" s="21"/>
      <c r="AK24" s="3"/>
      <c r="AL24" s="3"/>
      <c r="AM24" s="8">
        <f t="shared" si="0"/>
        <v>77</v>
      </c>
      <c r="AN24" s="13">
        <f>AM24/AM27</f>
        <v>0.42307692307692307</v>
      </c>
      <c r="AO24" s="9"/>
      <c r="AP24" s="12"/>
      <c r="AQ24" s="19"/>
    </row>
    <row r="25" spans="1:44" ht="13.5" customHeight="1" x14ac:dyDescent="0.3">
      <c r="A25" s="25" t="s">
        <v>158</v>
      </c>
      <c r="B25" s="15" t="s">
        <v>130</v>
      </c>
      <c r="C25" s="2">
        <v>2</v>
      </c>
      <c r="D25" s="21">
        <v>2</v>
      </c>
      <c r="E25" s="3">
        <v>2</v>
      </c>
      <c r="F25" s="3">
        <v>6</v>
      </c>
      <c r="G25" s="3">
        <v>6</v>
      </c>
      <c r="H25" s="21">
        <v>12</v>
      </c>
      <c r="I25" s="3">
        <v>2</v>
      </c>
      <c r="J25" s="3">
        <v>6</v>
      </c>
      <c r="K25" s="3">
        <v>2</v>
      </c>
      <c r="L25" s="21">
        <v>2</v>
      </c>
      <c r="M25" s="3">
        <v>2</v>
      </c>
      <c r="N25" s="3">
        <v>6</v>
      </c>
      <c r="O25" s="3">
        <v>2</v>
      </c>
      <c r="P25" s="21">
        <v>8</v>
      </c>
      <c r="Q25" s="3"/>
      <c r="R25" s="2"/>
      <c r="S25" s="2"/>
      <c r="T25" s="21"/>
      <c r="U25" s="2"/>
      <c r="V25" s="2"/>
      <c r="W25" s="2"/>
      <c r="X25" s="21"/>
      <c r="Y25" s="2"/>
      <c r="Z25" s="2"/>
      <c r="AA25" s="2"/>
      <c r="AB25" s="21"/>
      <c r="AC25" s="2"/>
      <c r="AD25" s="2"/>
      <c r="AE25" s="2"/>
      <c r="AF25" s="21"/>
      <c r="AG25" s="2"/>
      <c r="AH25" s="2"/>
      <c r="AI25" s="2"/>
      <c r="AJ25" s="21"/>
      <c r="AK25" s="3"/>
      <c r="AL25" s="3"/>
      <c r="AM25" s="8">
        <f t="shared" si="0"/>
        <v>60</v>
      </c>
      <c r="AN25" s="13">
        <f>AM25/AM27</f>
        <v>0.32967032967032966</v>
      </c>
      <c r="AO25" s="9"/>
      <c r="AP25" s="12"/>
      <c r="AQ25" s="19"/>
    </row>
    <row r="26" spans="1:44" ht="13.5" customHeight="1" x14ac:dyDescent="0.3">
      <c r="A26" s="25" t="s">
        <v>159</v>
      </c>
      <c r="B26" s="15" t="s">
        <v>131</v>
      </c>
      <c r="C26" s="2">
        <v>2</v>
      </c>
      <c r="D26" s="21">
        <v>2</v>
      </c>
      <c r="E26" s="36">
        <v>2</v>
      </c>
      <c r="F26" s="3">
        <v>2</v>
      </c>
      <c r="G26" s="3">
        <v>6</v>
      </c>
      <c r="H26" s="21">
        <v>18</v>
      </c>
      <c r="I26" s="27"/>
      <c r="J26" s="27"/>
      <c r="K26" s="27"/>
      <c r="L26" s="27"/>
      <c r="M26" s="3">
        <v>2</v>
      </c>
      <c r="N26" s="3">
        <v>6</v>
      </c>
      <c r="O26" s="3">
        <v>6</v>
      </c>
      <c r="P26" s="21">
        <v>2</v>
      </c>
      <c r="Q26" s="3"/>
      <c r="R26" s="2"/>
      <c r="S26" s="2"/>
      <c r="T26" s="21"/>
      <c r="U26" s="2"/>
      <c r="V26" s="2"/>
      <c r="W26" s="2"/>
      <c r="X26" s="21"/>
      <c r="Y26" s="2"/>
      <c r="Z26" s="2"/>
      <c r="AA26" s="2"/>
      <c r="AB26" s="21"/>
      <c r="AC26" s="2"/>
      <c r="AD26" s="2"/>
      <c r="AE26" s="2"/>
      <c r="AF26" s="21"/>
      <c r="AG26" s="2"/>
      <c r="AH26" s="2"/>
      <c r="AI26" s="2"/>
      <c r="AJ26" s="21"/>
      <c r="AK26" s="3"/>
      <c r="AL26" s="3"/>
      <c r="AM26" s="8">
        <f t="shared" si="0"/>
        <v>48</v>
      </c>
      <c r="AN26" s="13">
        <f>AM26/AM27</f>
        <v>0.26373626373626374</v>
      </c>
      <c r="AO26" s="9"/>
      <c r="AP26" s="12"/>
      <c r="AQ26" s="19"/>
    </row>
    <row r="27" spans="1:44" s="1" customFormat="1" ht="13.5" customHeight="1" x14ac:dyDescent="0.3">
      <c r="A27" s="42" t="s">
        <v>1</v>
      </c>
      <c r="B27" s="43"/>
      <c r="C27" s="5">
        <v>2</v>
      </c>
      <c r="D27" s="5">
        <v>2</v>
      </c>
      <c r="E27" s="5">
        <v>2</v>
      </c>
      <c r="F27" s="5">
        <v>6</v>
      </c>
      <c r="G27" s="5">
        <v>6</v>
      </c>
      <c r="H27" s="5">
        <v>12</v>
      </c>
      <c r="I27" s="5">
        <v>2</v>
      </c>
      <c r="J27" s="5">
        <v>6</v>
      </c>
      <c r="K27" s="5">
        <v>6</v>
      </c>
      <c r="L27" s="5">
        <v>12</v>
      </c>
      <c r="M27" s="5">
        <v>2</v>
      </c>
      <c r="N27" s="5">
        <v>6</v>
      </c>
      <c r="O27" s="5">
        <v>6</v>
      </c>
      <c r="P27" s="5">
        <v>12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>
        <v>100</v>
      </c>
      <c r="AM27" s="6">
        <f t="shared" si="0"/>
        <v>182</v>
      </c>
      <c r="AN27" s="14">
        <f>AM27/AM27</f>
        <v>1</v>
      </c>
      <c r="AO27" s="7"/>
      <c r="AP27" s="12"/>
      <c r="AQ27" s="19"/>
    </row>
    <row r="28" spans="1:44" s="20" customFormat="1" ht="264.60000000000002" customHeight="1" x14ac:dyDescent="0.3">
      <c r="A28" s="44" t="s">
        <v>12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</row>
    <row r="29" spans="1:44" x14ac:dyDescent="0.3">
      <c r="A29" s="41" t="s">
        <v>167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</row>
    <row r="30" spans="1:44" x14ac:dyDescent="0.3">
      <c r="A30" s="41" t="s">
        <v>176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</row>
    <row r="31" spans="1:44" x14ac:dyDescent="0.3">
      <c r="A31" s="16" t="s">
        <v>177</v>
      </c>
      <c r="B31" s="16" t="s">
        <v>172</v>
      </c>
    </row>
    <row r="32" spans="1:44" x14ac:dyDescent="0.3">
      <c r="A32" s="16" t="s">
        <v>184</v>
      </c>
      <c r="B32" s="16" t="s">
        <v>185</v>
      </c>
    </row>
  </sheetData>
  <mergeCells count="16">
    <mergeCell ref="A30:AP30"/>
    <mergeCell ref="A29:AP29"/>
    <mergeCell ref="A27:B27"/>
    <mergeCell ref="A28:AR28"/>
    <mergeCell ref="AK1:AK2"/>
    <mergeCell ref="AL1:AL2"/>
    <mergeCell ref="AM1:AM2"/>
    <mergeCell ref="AN1:AN2"/>
    <mergeCell ref="AO1:AO2"/>
    <mergeCell ref="AP1:AP2"/>
    <mergeCell ref="A1:A2"/>
    <mergeCell ref="B1:B2"/>
    <mergeCell ref="C1:K1"/>
    <mergeCell ref="L1:T1"/>
    <mergeCell ref="U1:AB1"/>
    <mergeCell ref="AC1:AJ1"/>
  </mergeCells>
  <phoneticPr fontId="12" type="noConversion"/>
  <hyperlinks>
    <hyperlink ref="B3" r:id="rId1" display="https://pro.guap.ru/inside/profile/57251" xr:uid="{AD5ED987-5238-4F9F-A8CC-5682E94262D5}"/>
    <hyperlink ref="B4" r:id="rId2" display="https://pro.guap.ru/inside/profile/42198" xr:uid="{E1564131-7492-44DA-9F6F-A7AB2C05D8B8}"/>
    <hyperlink ref="B5" r:id="rId3" display="https://pro.guap.ru/inside/profile/56775" xr:uid="{1896CA7D-EC82-41C0-849B-5872D7C4F0DE}"/>
    <hyperlink ref="B6" r:id="rId4" display="https://pro.guap.ru/inside/profile/56852" xr:uid="{E8B221C2-CDEE-4408-A1A6-9078874F2A3E}"/>
    <hyperlink ref="B7" r:id="rId5" display="https://pro.guap.ru/inside/profile/57407" xr:uid="{EFEBE753-86E3-498E-B93F-FE61436CE088}"/>
    <hyperlink ref="B8" r:id="rId6" display="https://pro.guap.ru/inside/profile/57469" xr:uid="{68DE0D5A-744F-4784-A653-4C639845694E}"/>
    <hyperlink ref="B9" r:id="rId7" display="https://pro.guap.ru/inside/profile/56980" xr:uid="{95A88C2F-6A0F-4B7B-84AA-50AAB120D9A5}"/>
    <hyperlink ref="B10" r:id="rId8" display="https://pro.guap.ru/inside/profile/57522" xr:uid="{F467B206-07C1-460F-A23C-244880BAA0D1}"/>
    <hyperlink ref="B11" r:id="rId9" display="https://pro.guap.ru/inside/profile/57581" xr:uid="{271E79DA-A48F-4C25-9E1B-9A6634D9D65D}"/>
    <hyperlink ref="B12" r:id="rId10" display="https://pro.guap.ru/inside/profile/57603" xr:uid="{FA9606BB-9AF0-4C5A-989B-ADDAD7E88DD5}"/>
    <hyperlink ref="B13" r:id="rId11" display="https://pro.guap.ru/inside/profile/57639" xr:uid="{6A700911-5199-4E1B-B92E-943E03745785}"/>
    <hyperlink ref="B14" r:id="rId12" display="https://pro.guap.ru/inside/profile/57685" xr:uid="{CD754447-B1E7-424F-912F-ECA5DD12DDC5}"/>
    <hyperlink ref="B15" r:id="rId13" display="https://pro.guap.ru/inside/profile/57817" xr:uid="{38702A99-A113-4831-ADCA-E1EBB00B9564}"/>
    <hyperlink ref="B16" r:id="rId14" display="https://pro.guap.ru/inside/profile/57851" xr:uid="{1B3C537A-0FE6-4930-B07C-5AA521909C96}"/>
    <hyperlink ref="B17" r:id="rId15" display="https://pro.guap.ru/inside/profile/59840" xr:uid="{52B25DE2-F45B-4682-A5E7-2FA1A34E8D7F}"/>
    <hyperlink ref="B18" r:id="rId16" display="https://pro.guap.ru/inside/profile/57903" xr:uid="{973C1D0E-51FE-4971-BAF8-11648BE8E8DA}"/>
    <hyperlink ref="B19" r:id="rId17" display="https://pro.guap.ru/inside/profile/57955" xr:uid="{419FD7CD-1D51-4283-B487-DE6E944DD95F}"/>
    <hyperlink ref="B20" r:id="rId18" display="https://pro.guap.ru/inside/profile/58042" xr:uid="{0262C7EE-1663-4E68-B094-D1D8544BB28D}"/>
    <hyperlink ref="B21" r:id="rId19" display="https://pro.guap.ru/inside/profile/58109" xr:uid="{78836640-6A39-40B3-85A2-11AC7C079792}"/>
    <hyperlink ref="B22" r:id="rId20" display="https://pro.guap.ru/inside/profile/42326" xr:uid="{E5899459-6730-4479-9677-2C1971FCAF38}"/>
    <hyperlink ref="B23" r:id="rId21" display="https://pro.guap.ru/inside/profile/58244" xr:uid="{2A063341-5568-412E-A1D6-38A7C218A046}"/>
    <hyperlink ref="B24" r:id="rId22" display="https://pro.guap.ru/inside/profile/58414" xr:uid="{5457CAB8-C9A7-4C0D-8F2F-E932451D8D3A}"/>
    <hyperlink ref="B25" r:id="rId23" display="https://pro.guap.ru/inside/profile/58500" xr:uid="{630C0896-6A8E-4A48-895F-71841C5253B2}"/>
    <hyperlink ref="B26" r:id="rId24" display="https://pro.guap.ru/inside/profile/56973" xr:uid="{6B81F8FF-E6C1-4C49-A596-1593DC815A8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BD539-633A-4050-910F-FFBEB5B80117}">
  <dimension ref="A1:AR30"/>
  <sheetViews>
    <sheetView tabSelected="1" zoomScale="110" zoomScaleNormal="110" workbookViewId="0">
      <selection activeCell="AN5" sqref="AN5"/>
    </sheetView>
  </sheetViews>
  <sheetFormatPr defaultColWidth="9.109375" defaultRowHeight="10.199999999999999" x14ac:dyDescent="0.3"/>
  <cols>
    <col min="1" max="1" width="3.33203125" style="16" customWidth="1"/>
    <col min="2" max="2" width="27.33203125" style="17" customWidth="1"/>
    <col min="3" max="36" width="3.77734375" style="1" customWidth="1"/>
    <col min="37" max="38" width="7.77734375" style="1" customWidth="1"/>
    <col min="39" max="39" width="15.77734375" style="16" customWidth="1"/>
    <col min="40" max="40" width="5.77734375" style="16" customWidth="1"/>
    <col min="41" max="44" width="16.77734375" style="16" customWidth="1"/>
    <col min="45" max="16384" width="9.109375" style="16"/>
  </cols>
  <sheetData>
    <row r="1" spans="1:43" s="1" customFormat="1" ht="13.5" customHeight="1" x14ac:dyDescent="0.3">
      <c r="A1" s="51" t="s">
        <v>0</v>
      </c>
      <c r="B1" s="53" t="s">
        <v>134</v>
      </c>
      <c r="C1" s="55" t="s">
        <v>5</v>
      </c>
      <c r="D1" s="56"/>
      <c r="E1" s="56"/>
      <c r="F1" s="56"/>
      <c r="G1" s="56"/>
      <c r="H1" s="56"/>
      <c r="I1" s="56"/>
      <c r="J1" s="56"/>
      <c r="K1" s="57"/>
      <c r="L1" s="55" t="s">
        <v>6</v>
      </c>
      <c r="M1" s="56"/>
      <c r="N1" s="56"/>
      <c r="O1" s="56"/>
      <c r="P1" s="56"/>
      <c r="Q1" s="56"/>
      <c r="R1" s="56"/>
      <c r="S1" s="56"/>
      <c r="T1" s="57"/>
      <c r="U1" s="55" t="s">
        <v>7</v>
      </c>
      <c r="V1" s="56"/>
      <c r="W1" s="56"/>
      <c r="X1" s="56"/>
      <c r="Y1" s="56"/>
      <c r="Z1" s="56"/>
      <c r="AA1" s="56"/>
      <c r="AB1" s="57"/>
      <c r="AC1" s="55" t="s">
        <v>8</v>
      </c>
      <c r="AD1" s="56"/>
      <c r="AE1" s="56"/>
      <c r="AF1" s="56"/>
      <c r="AG1" s="56"/>
      <c r="AH1" s="56"/>
      <c r="AI1" s="56"/>
      <c r="AJ1" s="57"/>
      <c r="AK1" s="45" t="s">
        <v>11</v>
      </c>
      <c r="AL1" s="45" t="s">
        <v>9</v>
      </c>
      <c r="AM1" s="47" t="s">
        <v>2</v>
      </c>
      <c r="AN1" s="47" t="s">
        <v>10</v>
      </c>
      <c r="AO1" s="47" t="s">
        <v>3</v>
      </c>
      <c r="AP1" s="49" t="s">
        <v>4</v>
      </c>
      <c r="AQ1" s="18"/>
    </row>
    <row r="2" spans="1:43" s="1" customFormat="1" ht="13.5" customHeight="1" x14ac:dyDescent="0.3">
      <c r="A2" s="52"/>
      <c r="B2" s="54"/>
      <c r="C2" s="10">
        <v>1</v>
      </c>
      <c r="D2" s="10">
        <v>4</v>
      </c>
      <c r="E2" s="11">
        <v>11</v>
      </c>
      <c r="F2" s="11">
        <v>11</v>
      </c>
      <c r="G2" s="10">
        <v>15</v>
      </c>
      <c r="H2" s="10">
        <v>18</v>
      </c>
      <c r="I2" s="11">
        <v>25</v>
      </c>
      <c r="J2" s="11">
        <v>25</v>
      </c>
      <c r="K2" s="10">
        <v>29</v>
      </c>
      <c r="L2" s="10">
        <v>2</v>
      </c>
      <c r="M2" s="11">
        <v>9</v>
      </c>
      <c r="N2" s="11">
        <v>9</v>
      </c>
      <c r="O2" s="10">
        <v>13</v>
      </c>
      <c r="P2" s="10">
        <v>16</v>
      </c>
      <c r="Q2" s="11">
        <v>23</v>
      </c>
      <c r="R2" s="11">
        <v>23</v>
      </c>
      <c r="S2" s="10">
        <v>27</v>
      </c>
      <c r="T2" s="10">
        <v>30</v>
      </c>
      <c r="U2" s="11">
        <v>6</v>
      </c>
      <c r="V2" s="11">
        <v>6</v>
      </c>
      <c r="W2" s="10">
        <v>10</v>
      </c>
      <c r="X2" s="10">
        <v>13</v>
      </c>
      <c r="Y2" s="11">
        <v>20</v>
      </c>
      <c r="Z2" s="11">
        <v>20</v>
      </c>
      <c r="AA2" s="10">
        <v>24</v>
      </c>
      <c r="AB2" s="10">
        <v>27</v>
      </c>
      <c r="AC2" s="11">
        <v>4</v>
      </c>
      <c r="AD2" s="11">
        <v>4</v>
      </c>
      <c r="AE2" s="10">
        <v>8</v>
      </c>
      <c r="AF2" s="10">
        <v>11</v>
      </c>
      <c r="AG2" s="11">
        <v>18</v>
      </c>
      <c r="AH2" s="11">
        <v>18</v>
      </c>
      <c r="AI2" s="10">
        <v>22</v>
      </c>
      <c r="AJ2" s="10">
        <v>25</v>
      </c>
      <c r="AK2" s="46"/>
      <c r="AL2" s="46"/>
      <c r="AM2" s="48"/>
      <c r="AN2" s="48"/>
      <c r="AO2" s="48"/>
      <c r="AP2" s="50"/>
      <c r="AQ2" s="18"/>
    </row>
    <row r="3" spans="1:43" ht="13.5" customHeight="1" x14ac:dyDescent="0.3">
      <c r="A3" s="25" t="s">
        <v>136</v>
      </c>
      <c r="B3" s="26" t="s">
        <v>16</v>
      </c>
      <c r="C3" s="23">
        <v>6</v>
      </c>
      <c r="D3" s="3"/>
      <c r="E3" s="3">
        <v>2</v>
      </c>
      <c r="F3" s="3">
        <v>6</v>
      </c>
      <c r="G3" s="21">
        <v>22</v>
      </c>
      <c r="H3" s="3">
        <v>6</v>
      </c>
      <c r="I3" s="3">
        <v>2</v>
      </c>
      <c r="J3" s="3">
        <v>6</v>
      </c>
      <c r="K3" s="21">
        <v>9</v>
      </c>
      <c r="L3" s="3">
        <v>6</v>
      </c>
      <c r="M3" s="3">
        <v>2</v>
      </c>
      <c r="N3" s="3">
        <v>6</v>
      </c>
      <c r="O3" s="21">
        <v>16</v>
      </c>
      <c r="P3" s="3">
        <v>2</v>
      </c>
      <c r="Q3" s="3"/>
      <c r="R3" s="2"/>
      <c r="S3" s="22"/>
      <c r="T3" s="2"/>
      <c r="U3" s="2"/>
      <c r="V3" s="2"/>
      <c r="W3" s="22"/>
      <c r="X3" s="2"/>
      <c r="Y3" s="2"/>
      <c r="Z3" s="2"/>
      <c r="AA3" s="22"/>
      <c r="AB3" s="2"/>
      <c r="AC3" s="2"/>
      <c r="AD3" s="2"/>
      <c r="AE3" s="22"/>
      <c r="AF3" s="2"/>
      <c r="AG3" s="2"/>
      <c r="AH3" s="2"/>
      <c r="AI3" s="22"/>
      <c r="AJ3" s="2"/>
      <c r="AK3" s="3"/>
      <c r="AL3" s="3"/>
      <c r="AM3" s="8">
        <f t="shared" ref="AM3:AM25" si="0">SUM(C3:AL3)</f>
        <v>91</v>
      </c>
      <c r="AN3" s="13">
        <f>AM3/AM25</f>
        <v>0.43961352657004832</v>
      </c>
      <c r="AO3" s="9"/>
      <c r="AP3" s="12"/>
      <c r="AQ3" s="19"/>
    </row>
    <row r="4" spans="1:43" ht="13.5" customHeight="1" x14ac:dyDescent="0.3">
      <c r="A4" s="25" t="s">
        <v>137</v>
      </c>
      <c r="B4" s="26" t="s">
        <v>20</v>
      </c>
      <c r="C4" s="23">
        <v>4</v>
      </c>
      <c r="D4" s="3"/>
      <c r="E4" s="36">
        <v>2</v>
      </c>
      <c r="F4" s="3">
        <v>2</v>
      </c>
      <c r="G4" s="21">
        <v>34</v>
      </c>
      <c r="H4" s="3">
        <v>6</v>
      </c>
      <c r="I4" s="3">
        <v>2</v>
      </c>
      <c r="J4" s="3">
        <v>6</v>
      </c>
      <c r="K4" s="21">
        <v>7</v>
      </c>
      <c r="L4" s="3">
        <v>6</v>
      </c>
      <c r="M4" s="3">
        <v>2</v>
      </c>
      <c r="N4" s="3">
        <v>6</v>
      </c>
      <c r="O4" s="21">
        <v>8</v>
      </c>
      <c r="P4" s="3">
        <v>6</v>
      </c>
      <c r="Q4" s="3"/>
      <c r="R4" s="2"/>
      <c r="S4" s="22"/>
      <c r="T4" s="2"/>
      <c r="U4" s="2"/>
      <c r="V4" s="2"/>
      <c r="W4" s="22"/>
      <c r="X4" s="2"/>
      <c r="Y4" s="2"/>
      <c r="Z4" s="2"/>
      <c r="AA4" s="22"/>
      <c r="AB4" s="2"/>
      <c r="AC4" s="2"/>
      <c r="AD4" s="2"/>
      <c r="AE4" s="22"/>
      <c r="AF4" s="2"/>
      <c r="AG4" s="2"/>
      <c r="AH4" s="2"/>
      <c r="AI4" s="22"/>
      <c r="AJ4" s="2"/>
      <c r="AK4" s="3"/>
      <c r="AL4" s="3"/>
      <c r="AM4" s="8">
        <f t="shared" si="0"/>
        <v>91</v>
      </c>
      <c r="AN4" s="13">
        <f>AM4/AM25</f>
        <v>0.43961352657004832</v>
      </c>
      <c r="AO4" s="9"/>
      <c r="AP4" s="12"/>
      <c r="AQ4" s="19"/>
    </row>
    <row r="5" spans="1:43" ht="13.5" customHeight="1" x14ac:dyDescent="0.3">
      <c r="A5" s="25" t="s">
        <v>138</v>
      </c>
      <c r="B5" s="26" t="s">
        <v>22</v>
      </c>
      <c r="C5" s="23">
        <v>16</v>
      </c>
      <c r="D5" s="3"/>
      <c r="E5" s="3">
        <v>2</v>
      </c>
      <c r="F5" s="3">
        <v>6</v>
      </c>
      <c r="G5" s="21">
        <v>34</v>
      </c>
      <c r="H5" s="3">
        <v>6</v>
      </c>
      <c r="I5" s="3">
        <v>2</v>
      </c>
      <c r="J5" s="3">
        <v>6</v>
      </c>
      <c r="K5" s="21">
        <v>9</v>
      </c>
      <c r="L5" s="3">
        <v>6</v>
      </c>
      <c r="M5" s="3">
        <v>2</v>
      </c>
      <c r="N5" s="3">
        <v>6</v>
      </c>
      <c r="O5" s="21">
        <v>15</v>
      </c>
      <c r="P5" s="3">
        <v>6</v>
      </c>
      <c r="Q5" s="3"/>
      <c r="R5" s="2"/>
      <c r="S5" s="22"/>
      <c r="T5" s="2"/>
      <c r="U5" s="2"/>
      <c r="V5" s="2"/>
      <c r="W5" s="22"/>
      <c r="X5" s="2"/>
      <c r="Y5" s="2"/>
      <c r="Z5" s="2"/>
      <c r="AA5" s="22"/>
      <c r="AB5" s="2"/>
      <c r="AC5" s="2"/>
      <c r="AD5" s="2"/>
      <c r="AE5" s="22"/>
      <c r="AF5" s="2"/>
      <c r="AG5" s="2"/>
      <c r="AH5" s="2"/>
      <c r="AI5" s="22"/>
      <c r="AJ5" s="2"/>
      <c r="AK5" s="3"/>
      <c r="AL5" s="3"/>
      <c r="AM5" s="8">
        <f t="shared" si="0"/>
        <v>116</v>
      </c>
      <c r="AN5" s="13">
        <f>AM5/AM25</f>
        <v>0.56038647342995174</v>
      </c>
      <c r="AO5" s="9"/>
      <c r="AP5" s="12"/>
      <c r="AQ5" s="19"/>
    </row>
    <row r="6" spans="1:43" ht="13.5" customHeight="1" x14ac:dyDescent="0.3">
      <c r="A6" s="25" t="s">
        <v>139</v>
      </c>
      <c r="B6" s="26" t="s">
        <v>34</v>
      </c>
      <c r="C6" s="23">
        <v>12</v>
      </c>
      <c r="D6" s="3"/>
      <c r="E6" s="3">
        <v>2</v>
      </c>
      <c r="F6" s="3">
        <v>6</v>
      </c>
      <c r="G6" s="27"/>
      <c r="H6" s="3">
        <v>6</v>
      </c>
      <c r="I6" s="3">
        <v>2</v>
      </c>
      <c r="J6" s="3">
        <v>6</v>
      </c>
      <c r="K6" s="21">
        <v>9</v>
      </c>
      <c r="L6" s="3">
        <v>2</v>
      </c>
      <c r="M6" s="3">
        <v>2</v>
      </c>
      <c r="N6" s="3">
        <v>6</v>
      </c>
      <c r="O6" s="27"/>
      <c r="P6" s="3">
        <v>6</v>
      </c>
      <c r="Q6" s="3"/>
      <c r="R6" s="2"/>
      <c r="S6" s="22"/>
      <c r="T6" s="2"/>
      <c r="U6" s="2"/>
      <c r="V6" s="2"/>
      <c r="W6" s="22"/>
      <c r="X6" s="2"/>
      <c r="Y6" s="2"/>
      <c r="Z6" s="2"/>
      <c r="AA6" s="22"/>
      <c r="AB6" s="2"/>
      <c r="AC6" s="2"/>
      <c r="AD6" s="2"/>
      <c r="AE6" s="22"/>
      <c r="AF6" s="2"/>
      <c r="AG6" s="2"/>
      <c r="AH6" s="2"/>
      <c r="AI6" s="22"/>
      <c r="AJ6" s="2"/>
      <c r="AK6" s="3"/>
      <c r="AL6" s="3"/>
      <c r="AM6" s="8">
        <f t="shared" si="0"/>
        <v>59</v>
      </c>
      <c r="AN6" s="13">
        <f>AM6/AM25</f>
        <v>0.28502415458937197</v>
      </c>
      <c r="AO6" s="9"/>
      <c r="AP6" s="12"/>
      <c r="AQ6" s="19"/>
    </row>
    <row r="7" spans="1:43" ht="13.5" customHeight="1" x14ac:dyDescent="0.3">
      <c r="A7" s="25" t="s">
        <v>140</v>
      </c>
      <c r="B7" s="26" t="s">
        <v>46</v>
      </c>
      <c r="C7" s="23">
        <v>5</v>
      </c>
      <c r="D7" s="3"/>
      <c r="E7" s="3">
        <v>2</v>
      </c>
      <c r="F7" s="3">
        <v>6</v>
      </c>
      <c r="G7" s="21">
        <v>26</v>
      </c>
      <c r="H7" s="36">
        <v>6</v>
      </c>
      <c r="I7" s="3">
        <v>2</v>
      </c>
      <c r="J7" s="3">
        <v>6</v>
      </c>
      <c r="K7" s="21">
        <v>2</v>
      </c>
      <c r="L7" s="3">
        <v>6</v>
      </c>
      <c r="M7" s="3">
        <v>2</v>
      </c>
      <c r="N7" s="3">
        <v>6</v>
      </c>
      <c r="O7" s="21">
        <v>14</v>
      </c>
      <c r="P7" s="3">
        <v>6</v>
      </c>
      <c r="Q7" s="3"/>
      <c r="R7" s="2"/>
      <c r="S7" s="22"/>
      <c r="T7" s="2"/>
      <c r="U7" s="2"/>
      <c r="V7" s="2"/>
      <c r="W7" s="22"/>
      <c r="X7" s="2"/>
      <c r="Y7" s="2"/>
      <c r="Z7" s="2"/>
      <c r="AA7" s="22"/>
      <c r="AB7" s="2"/>
      <c r="AC7" s="2"/>
      <c r="AD7" s="2"/>
      <c r="AE7" s="22"/>
      <c r="AF7" s="2"/>
      <c r="AG7" s="2"/>
      <c r="AH7" s="2"/>
      <c r="AI7" s="22"/>
      <c r="AJ7" s="2"/>
      <c r="AK7" s="3"/>
      <c r="AL7" s="3"/>
      <c r="AM7" s="8">
        <f t="shared" si="0"/>
        <v>89</v>
      </c>
      <c r="AN7" s="13">
        <f>AM7/AM25</f>
        <v>0.42995169082125606</v>
      </c>
      <c r="AO7" s="9"/>
      <c r="AP7" s="12"/>
      <c r="AQ7" s="19"/>
    </row>
    <row r="8" spans="1:43" ht="13.5" customHeight="1" x14ac:dyDescent="0.3">
      <c r="A8" s="25" t="s">
        <v>141</v>
      </c>
      <c r="B8" s="26" t="s">
        <v>47</v>
      </c>
      <c r="C8" s="23">
        <v>12</v>
      </c>
      <c r="D8" s="3"/>
      <c r="E8" s="3">
        <v>2</v>
      </c>
      <c r="F8" s="3">
        <v>2</v>
      </c>
      <c r="G8" s="21">
        <v>22</v>
      </c>
      <c r="H8" s="3">
        <v>6</v>
      </c>
      <c r="I8" s="3">
        <v>2</v>
      </c>
      <c r="J8" s="3">
        <v>6</v>
      </c>
      <c r="K8" s="21">
        <v>15</v>
      </c>
      <c r="L8" s="3">
        <v>6</v>
      </c>
      <c r="M8" s="3">
        <v>2</v>
      </c>
      <c r="N8" s="3">
        <v>6</v>
      </c>
      <c r="O8" s="21">
        <v>15</v>
      </c>
      <c r="P8" s="3">
        <v>6</v>
      </c>
      <c r="Q8" s="3"/>
      <c r="R8" s="2"/>
      <c r="S8" s="22"/>
      <c r="T8" s="2"/>
      <c r="U8" s="2"/>
      <c r="V8" s="2"/>
      <c r="W8" s="22"/>
      <c r="X8" s="2"/>
      <c r="Y8" s="2"/>
      <c r="Z8" s="2"/>
      <c r="AA8" s="22"/>
      <c r="AB8" s="2"/>
      <c r="AC8" s="2"/>
      <c r="AD8" s="2"/>
      <c r="AE8" s="22"/>
      <c r="AF8" s="2"/>
      <c r="AG8" s="2"/>
      <c r="AH8" s="2"/>
      <c r="AI8" s="22"/>
      <c r="AJ8" s="2"/>
      <c r="AK8" s="3"/>
      <c r="AL8" s="3"/>
      <c r="AM8" s="8">
        <f t="shared" si="0"/>
        <v>102</v>
      </c>
      <c r="AN8" s="13">
        <f>AM8/AM25</f>
        <v>0.49275362318840582</v>
      </c>
      <c r="AO8" s="9"/>
      <c r="AP8" s="12"/>
      <c r="AQ8" s="19"/>
    </row>
    <row r="9" spans="1:43" ht="13.5" customHeight="1" x14ac:dyDescent="0.3">
      <c r="A9" s="25" t="s">
        <v>142</v>
      </c>
      <c r="B9" s="26" t="s">
        <v>49</v>
      </c>
      <c r="C9" s="23">
        <v>13</v>
      </c>
      <c r="D9" s="3"/>
      <c r="E9" s="3">
        <v>2</v>
      </c>
      <c r="F9" s="3">
        <v>2</v>
      </c>
      <c r="G9" s="21">
        <v>29</v>
      </c>
      <c r="H9" s="3">
        <v>2</v>
      </c>
      <c r="I9" s="3">
        <v>2</v>
      </c>
      <c r="J9" s="3">
        <v>6</v>
      </c>
      <c r="K9" s="27"/>
      <c r="L9" s="3">
        <v>2</v>
      </c>
      <c r="M9" s="3">
        <v>2</v>
      </c>
      <c r="N9" s="3">
        <v>6</v>
      </c>
      <c r="O9" s="21">
        <v>9</v>
      </c>
      <c r="P9" s="3">
        <v>6</v>
      </c>
      <c r="Q9" s="3"/>
      <c r="R9" s="2"/>
      <c r="S9" s="22"/>
      <c r="T9" s="2"/>
      <c r="U9" s="2"/>
      <c r="V9" s="2"/>
      <c r="W9" s="22"/>
      <c r="X9" s="2"/>
      <c r="Y9" s="2"/>
      <c r="Z9" s="2"/>
      <c r="AA9" s="22"/>
      <c r="AB9" s="2"/>
      <c r="AC9" s="2"/>
      <c r="AD9" s="2"/>
      <c r="AE9" s="22"/>
      <c r="AF9" s="2"/>
      <c r="AG9" s="2"/>
      <c r="AH9" s="2"/>
      <c r="AI9" s="22"/>
      <c r="AJ9" s="2"/>
      <c r="AK9" s="3"/>
      <c r="AL9" s="3"/>
      <c r="AM9" s="8">
        <f t="shared" si="0"/>
        <v>81</v>
      </c>
      <c r="AN9" s="13">
        <f>AM9/AM25</f>
        <v>0.39130434782608697</v>
      </c>
      <c r="AO9" s="9"/>
      <c r="AP9" s="12"/>
      <c r="AQ9" s="19"/>
    </row>
    <row r="10" spans="1:43" ht="13.5" customHeight="1" x14ac:dyDescent="0.3">
      <c r="A10" s="25" t="s">
        <v>143</v>
      </c>
      <c r="B10" s="26" t="s">
        <v>50</v>
      </c>
      <c r="C10" s="23">
        <v>6</v>
      </c>
      <c r="D10" s="3"/>
      <c r="E10" s="3">
        <v>2</v>
      </c>
      <c r="F10" s="3">
        <v>6</v>
      </c>
      <c r="G10" s="21">
        <v>26</v>
      </c>
      <c r="H10" s="27"/>
      <c r="I10" s="3">
        <v>2</v>
      </c>
      <c r="J10" s="3">
        <v>6</v>
      </c>
      <c r="K10" s="21">
        <v>2</v>
      </c>
      <c r="L10" s="3">
        <v>6</v>
      </c>
      <c r="M10" s="3">
        <v>2</v>
      </c>
      <c r="N10" s="3">
        <v>6</v>
      </c>
      <c r="O10" s="21">
        <v>22</v>
      </c>
      <c r="P10" s="3">
        <v>6</v>
      </c>
      <c r="Q10" s="3"/>
      <c r="R10" s="2"/>
      <c r="S10" s="22"/>
      <c r="T10" s="2"/>
      <c r="U10" s="2"/>
      <c r="V10" s="2"/>
      <c r="W10" s="22"/>
      <c r="X10" s="2"/>
      <c r="Y10" s="2"/>
      <c r="Z10" s="2"/>
      <c r="AA10" s="22"/>
      <c r="AB10" s="2"/>
      <c r="AC10" s="2"/>
      <c r="AD10" s="2"/>
      <c r="AE10" s="22"/>
      <c r="AF10" s="2"/>
      <c r="AG10" s="2"/>
      <c r="AH10" s="2"/>
      <c r="AI10" s="22"/>
      <c r="AJ10" s="2"/>
      <c r="AK10" s="3"/>
      <c r="AL10" s="3"/>
      <c r="AM10" s="8">
        <f t="shared" si="0"/>
        <v>92</v>
      </c>
      <c r="AN10" s="13">
        <f>AM10/AM25</f>
        <v>0.44444444444444442</v>
      </c>
      <c r="AO10" s="9"/>
      <c r="AP10" s="12"/>
      <c r="AQ10" s="19"/>
    </row>
    <row r="11" spans="1:43" ht="13.5" customHeight="1" x14ac:dyDescent="0.3">
      <c r="A11" s="25" t="s">
        <v>144</v>
      </c>
      <c r="B11" s="26" t="s">
        <v>51</v>
      </c>
      <c r="C11" s="23">
        <v>6</v>
      </c>
      <c r="D11" s="3"/>
      <c r="E11" s="3">
        <v>2</v>
      </c>
      <c r="F11" s="3">
        <v>6</v>
      </c>
      <c r="G11" s="21">
        <v>28</v>
      </c>
      <c r="H11" s="3">
        <v>6</v>
      </c>
      <c r="I11" s="3">
        <v>2</v>
      </c>
      <c r="J11" s="3">
        <v>6</v>
      </c>
      <c r="K11" s="21">
        <v>2</v>
      </c>
      <c r="L11" s="3">
        <v>6</v>
      </c>
      <c r="M11" s="3">
        <v>2</v>
      </c>
      <c r="N11" s="3">
        <v>6</v>
      </c>
      <c r="O11" s="21">
        <v>16</v>
      </c>
      <c r="P11" s="3">
        <v>6</v>
      </c>
      <c r="Q11" s="3"/>
      <c r="R11" s="2"/>
      <c r="S11" s="22"/>
      <c r="T11" s="2"/>
      <c r="U11" s="2"/>
      <c r="V11" s="2"/>
      <c r="W11" s="22"/>
      <c r="X11" s="2"/>
      <c r="Y11" s="2"/>
      <c r="Z11" s="2"/>
      <c r="AA11" s="22"/>
      <c r="AB11" s="2"/>
      <c r="AC11" s="2"/>
      <c r="AD11" s="2"/>
      <c r="AE11" s="22"/>
      <c r="AF11" s="2"/>
      <c r="AG11" s="2"/>
      <c r="AH11" s="2"/>
      <c r="AI11" s="22"/>
      <c r="AJ11" s="2"/>
      <c r="AK11" s="3"/>
      <c r="AL11" s="3"/>
      <c r="AM11" s="8">
        <f t="shared" si="0"/>
        <v>94</v>
      </c>
      <c r="AN11" s="13">
        <f>AM11/AM25</f>
        <v>0.45410628019323673</v>
      </c>
      <c r="AO11" s="9"/>
      <c r="AP11" s="12"/>
      <c r="AQ11" s="19"/>
    </row>
    <row r="12" spans="1:43" ht="13.5" customHeight="1" x14ac:dyDescent="0.3">
      <c r="A12" s="25" t="s">
        <v>145</v>
      </c>
      <c r="B12" s="26" t="s">
        <v>66</v>
      </c>
      <c r="C12" s="23">
        <v>10</v>
      </c>
      <c r="D12" s="3"/>
      <c r="E12" s="3">
        <v>2</v>
      </c>
      <c r="F12" s="3">
        <v>6</v>
      </c>
      <c r="G12" s="21">
        <v>22</v>
      </c>
      <c r="H12" s="36">
        <v>6</v>
      </c>
      <c r="I12" s="3">
        <v>2</v>
      </c>
      <c r="J12" s="3">
        <v>6</v>
      </c>
      <c r="K12" s="21">
        <v>2</v>
      </c>
      <c r="L12" s="3">
        <v>6</v>
      </c>
      <c r="M12" s="3">
        <v>2</v>
      </c>
      <c r="N12" s="3">
        <v>6</v>
      </c>
      <c r="O12" s="21">
        <v>9</v>
      </c>
      <c r="P12" s="3">
        <v>6</v>
      </c>
      <c r="Q12" s="3"/>
      <c r="R12" s="2"/>
      <c r="S12" s="22"/>
      <c r="T12" s="2"/>
      <c r="U12" s="2"/>
      <c r="V12" s="2"/>
      <c r="W12" s="22"/>
      <c r="X12" s="2"/>
      <c r="Y12" s="2"/>
      <c r="Z12" s="2"/>
      <c r="AA12" s="22"/>
      <c r="AB12" s="2"/>
      <c r="AC12" s="2"/>
      <c r="AD12" s="2"/>
      <c r="AE12" s="22"/>
      <c r="AF12" s="2"/>
      <c r="AG12" s="2"/>
      <c r="AH12" s="2"/>
      <c r="AI12" s="22"/>
      <c r="AJ12" s="2"/>
      <c r="AK12" s="3"/>
      <c r="AL12" s="3"/>
      <c r="AM12" s="8">
        <f t="shared" si="0"/>
        <v>85</v>
      </c>
      <c r="AN12" s="13">
        <f>AM12/AM25</f>
        <v>0.41062801932367149</v>
      </c>
      <c r="AO12" s="9"/>
      <c r="AP12" s="12"/>
      <c r="AQ12" s="19"/>
    </row>
    <row r="13" spans="1:43" ht="13.5" customHeight="1" x14ac:dyDescent="0.3">
      <c r="A13" s="25" t="s">
        <v>146</v>
      </c>
      <c r="B13" s="26" t="s">
        <v>70</v>
      </c>
      <c r="C13" s="23">
        <v>10</v>
      </c>
      <c r="D13" s="3"/>
      <c r="E13" s="3">
        <v>2</v>
      </c>
      <c r="F13" s="3">
        <v>2</v>
      </c>
      <c r="G13" s="21">
        <v>36</v>
      </c>
      <c r="H13" s="36">
        <v>6</v>
      </c>
      <c r="I13" s="3">
        <v>2</v>
      </c>
      <c r="J13" s="3">
        <v>6</v>
      </c>
      <c r="K13" s="21">
        <v>11</v>
      </c>
      <c r="L13" s="3">
        <v>2</v>
      </c>
      <c r="M13" s="3">
        <v>2</v>
      </c>
      <c r="N13" s="3">
        <v>6</v>
      </c>
      <c r="O13" s="21">
        <v>19</v>
      </c>
      <c r="P13" s="3">
        <v>6</v>
      </c>
      <c r="Q13" s="3"/>
      <c r="R13" s="2"/>
      <c r="S13" s="22"/>
      <c r="T13" s="2"/>
      <c r="U13" s="2"/>
      <c r="V13" s="2"/>
      <c r="W13" s="22"/>
      <c r="X13" s="2"/>
      <c r="Y13" s="2"/>
      <c r="Z13" s="2"/>
      <c r="AA13" s="22"/>
      <c r="AB13" s="2"/>
      <c r="AC13" s="2"/>
      <c r="AD13" s="2"/>
      <c r="AE13" s="22"/>
      <c r="AF13" s="2"/>
      <c r="AG13" s="2"/>
      <c r="AH13" s="2"/>
      <c r="AI13" s="22"/>
      <c r="AJ13" s="2"/>
      <c r="AK13" s="3"/>
      <c r="AL13" s="3"/>
      <c r="AM13" s="8">
        <f t="shared" si="0"/>
        <v>110</v>
      </c>
      <c r="AN13" s="13">
        <f>AM13/AM25</f>
        <v>0.53140096618357491</v>
      </c>
      <c r="AO13" s="9"/>
      <c r="AP13" s="12"/>
      <c r="AQ13" s="19"/>
    </row>
    <row r="14" spans="1:43" ht="13.5" customHeight="1" x14ac:dyDescent="0.3">
      <c r="A14" s="25" t="s">
        <v>147</v>
      </c>
      <c r="B14" s="26" t="s">
        <v>79</v>
      </c>
      <c r="C14" s="23">
        <v>5</v>
      </c>
      <c r="D14" s="3"/>
      <c r="E14" s="3">
        <v>2</v>
      </c>
      <c r="F14" s="3">
        <v>2</v>
      </c>
      <c r="G14" s="21">
        <v>27</v>
      </c>
      <c r="H14" s="3">
        <v>6</v>
      </c>
      <c r="I14" s="3">
        <v>2</v>
      </c>
      <c r="J14" s="3">
        <v>6</v>
      </c>
      <c r="K14" s="21">
        <v>2</v>
      </c>
      <c r="L14" s="3">
        <v>6</v>
      </c>
      <c r="M14" s="3">
        <v>2</v>
      </c>
      <c r="N14" s="3">
        <v>6</v>
      </c>
      <c r="O14" s="21">
        <v>7</v>
      </c>
      <c r="P14" s="3">
        <v>6</v>
      </c>
      <c r="Q14" s="3"/>
      <c r="R14" s="2"/>
      <c r="S14" s="22"/>
      <c r="T14" s="2"/>
      <c r="U14" s="2"/>
      <c r="V14" s="2"/>
      <c r="W14" s="22"/>
      <c r="X14" s="2"/>
      <c r="Y14" s="2"/>
      <c r="Z14" s="2"/>
      <c r="AA14" s="22"/>
      <c r="AB14" s="2"/>
      <c r="AC14" s="2"/>
      <c r="AD14" s="2"/>
      <c r="AE14" s="22"/>
      <c r="AF14" s="2"/>
      <c r="AG14" s="2"/>
      <c r="AH14" s="2"/>
      <c r="AI14" s="22"/>
      <c r="AJ14" s="2"/>
      <c r="AK14" s="3"/>
      <c r="AL14" s="3"/>
      <c r="AM14" s="8">
        <f t="shared" si="0"/>
        <v>79</v>
      </c>
      <c r="AN14" s="13">
        <f>AM14/AM25</f>
        <v>0.38164251207729466</v>
      </c>
      <c r="AO14" s="9"/>
      <c r="AP14" s="12"/>
      <c r="AQ14" s="19"/>
    </row>
    <row r="15" spans="1:43" ht="13.5" customHeight="1" x14ac:dyDescent="0.3">
      <c r="A15" s="25" t="s">
        <v>148</v>
      </c>
      <c r="B15" s="26" t="s">
        <v>81</v>
      </c>
      <c r="C15" s="23">
        <v>10</v>
      </c>
      <c r="D15" s="3"/>
      <c r="E15" s="3">
        <v>2</v>
      </c>
      <c r="F15" s="3">
        <v>2</v>
      </c>
      <c r="G15" s="21">
        <v>22</v>
      </c>
      <c r="H15" s="3">
        <v>6</v>
      </c>
      <c r="I15" s="3">
        <v>2</v>
      </c>
      <c r="J15" s="3">
        <v>6</v>
      </c>
      <c r="K15" s="21">
        <v>7</v>
      </c>
      <c r="L15" s="3">
        <v>6</v>
      </c>
      <c r="M15" s="3">
        <v>2</v>
      </c>
      <c r="N15" s="3">
        <v>6</v>
      </c>
      <c r="O15" s="27"/>
      <c r="P15" s="27"/>
      <c r="Q15" s="3"/>
      <c r="R15" s="2"/>
      <c r="S15" s="22"/>
      <c r="T15" s="2"/>
      <c r="U15" s="2"/>
      <c r="V15" s="2"/>
      <c r="W15" s="22"/>
      <c r="X15" s="2"/>
      <c r="Y15" s="2"/>
      <c r="Z15" s="2"/>
      <c r="AA15" s="22"/>
      <c r="AB15" s="2"/>
      <c r="AC15" s="2"/>
      <c r="AD15" s="2"/>
      <c r="AE15" s="22"/>
      <c r="AF15" s="2"/>
      <c r="AG15" s="2"/>
      <c r="AH15" s="2"/>
      <c r="AI15" s="22"/>
      <c r="AJ15" s="2"/>
      <c r="AK15" s="3"/>
      <c r="AL15" s="3"/>
      <c r="AM15" s="8">
        <f t="shared" si="0"/>
        <v>71</v>
      </c>
      <c r="AN15" s="13">
        <f>AM15/AM25</f>
        <v>0.34299516908212563</v>
      </c>
      <c r="AO15" s="9"/>
      <c r="AP15" s="12"/>
      <c r="AQ15" s="19"/>
    </row>
    <row r="16" spans="1:43" ht="13.5" customHeight="1" x14ac:dyDescent="0.3">
      <c r="A16" s="25" t="s">
        <v>149</v>
      </c>
      <c r="B16" s="26" t="s">
        <v>86</v>
      </c>
      <c r="C16" s="23">
        <v>10</v>
      </c>
      <c r="D16" s="3"/>
      <c r="E16" s="3">
        <v>2</v>
      </c>
      <c r="F16" s="3">
        <v>2</v>
      </c>
      <c r="G16" s="21">
        <v>22</v>
      </c>
      <c r="H16" s="3">
        <v>2</v>
      </c>
      <c r="I16" s="3">
        <v>2</v>
      </c>
      <c r="J16" s="3">
        <v>6</v>
      </c>
      <c r="K16" s="21">
        <v>8</v>
      </c>
      <c r="L16" s="27"/>
      <c r="M16" s="3">
        <v>2</v>
      </c>
      <c r="N16" s="3">
        <v>6</v>
      </c>
      <c r="O16" s="21">
        <v>9</v>
      </c>
      <c r="P16" s="3">
        <v>2</v>
      </c>
      <c r="Q16" s="3"/>
      <c r="R16" s="2"/>
      <c r="S16" s="22"/>
      <c r="T16" s="2"/>
      <c r="U16" s="2"/>
      <c r="V16" s="2"/>
      <c r="W16" s="22"/>
      <c r="X16" s="2"/>
      <c r="Y16" s="2"/>
      <c r="Z16" s="2"/>
      <c r="AA16" s="22"/>
      <c r="AB16" s="2"/>
      <c r="AC16" s="2"/>
      <c r="AD16" s="2"/>
      <c r="AE16" s="22"/>
      <c r="AF16" s="2"/>
      <c r="AG16" s="2"/>
      <c r="AH16" s="2"/>
      <c r="AI16" s="22"/>
      <c r="AJ16" s="2"/>
      <c r="AK16" s="3"/>
      <c r="AL16" s="3"/>
      <c r="AM16" s="8">
        <f t="shared" si="0"/>
        <v>73</v>
      </c>
      <c r="AN16" s="13">
        <f>AM16/AM25</f>
        <v>0.35265700483091789</v>
      </c>
      <c r="AO16" s="9"/>
      <c r="AP16" s="12"/>
      <c r="AQ16" s="19"/>
    </row>
    <row r="17" spans="1:44" ht="13.5" customHeight="1" x14ac:dyDescent="0.3">
      <c r="A17" s="25" t="s">
        <v>150</v>
      </c>
      <c r="B17" s="26" t="s">
        <v>87</v>
      </c>
      <c r="C17" s="23">
        <v>2</v>
      </c>
      <c r="D17" s="3"/>
      <c r="E17" s="27"/>
      <c r="F17" s="27"/>
      <c r="G17" s="21">
        <v>33</v>
      </c>
      <c r="H17" s="3">
        <v>6</v>
      </c>
      <c r="I17" s="3">
        <v>2</v>
      </c>
      <c r="J17" s="3">
        <v>6</v>
      </c>
      <c r="K17" s="27"/>
      <c r="L17" s="3">
        <v>2</v>
      </c>
      <c r="M17" s="3">
        <v>2</v>
      </c>
      <c r="N17" s="3">
        <v>6</v>
      </c>
      <c r="O17" s="27"/>
      <c r="P17" s="3">
        <v>6</v>
      </c>
      <c r="Q17" s="3"/>
      <c r="R17" s="2"/>
      <c r="S17" s="22"/>
      <c r="T17" s="2"/>
      <c r="U17" s="2"/>
      <c r="V17" s="2"/>
      <c r="W17" s="22"/>
      <c r="X17" s="2"/>
      <c r="Y17" s="2"/>
      <c r="Z17" s="2"/>
      <c r="AA17" s="22"/>
      <c r="AB17" s="2"/>
      <c r="AC17" s="2"/>
      <c r="AD17" s="2"/>
      <c r="AE17" s="22"/>
      <c r="AF17" s="2"/>
      <c r="AG17" s="2"/>
      <c r="AH17" s="2"/>
      <c r="AI17" s="22"/>
      <c r="AJ17" s="2"/>
      <c r="AK17" s="3"/>
      <c r="AL17" s="3"/>
      <c r="AM17" s="8">
        <f t="shared" si="0"/>
        <v>65</v>
      </c>
      <c r="AN17" s="13">
        <f>AM17/AM25</f>
        <v>0.3140096618357488</v>
      </c>
      <c r="AO17" s="9"/>
      <c r="AP17" s="12"/>
      <c r="AQ17" s="19"/>
    </row>
    <row r="18" spans="1:44" ht="13.5" customHeight="1" x14ac:dyDescent="0.3">
      <c r="A18" s="25" t="s">
        <v>151</v>
      </c>
      <c r="B18" s="26" t="s">
        <v>96</v>
      </c>
      <c r="C18" s="23">
        <v>7</v>
      </c>
      <c r="D18" s="3"/>
      <c r="E18" s="3">
        <v>2</v>
      </c>
      <c r="F18" s="3">
        <v>2</v>
      </c>
      <c r="G18" s="21">
        <v>33</v>
      </c>
      <c r="H18" s="3">
        <v>6</v>
      </c>
      <c r="I18" s="3">
        <v>2</v>
      </c>
      <c r="J18" s="3">
        <v>6</v>
      </c>
      <c r="K18" s="21">
        <v>7</v>
      </c>
      <c r="L18" s="3">
        <v>6</v>
      </c>
      <c r="M18" s="3">
        <v>2</v>
      </c>
      <c r="N18" s="3">
        <v>6</v>
      </c>
      <c r="O18" s="21">
        <v>7</v>
      </c>
      <c r="P18" s="3">
        <v>6</v>
      </c>
      <c r="Q18" s="3"/>
      <c r="R18" s="2"/>
      <c r="S18" s="22"/>
      <c r="T18" s="2"/>
      <c r="U18" s="2"/>
      <c r="V18" s="2"/>
      <c r="W18" s="22"/>
      <c r="X18" s="2"/>
      <c r="Y18" s="2"/>
      <c r="Z18" s="2"/>
      <c r="AA18" s="22"/>
      <c r="AB18" s="2"/>
      <c r="AC18" s="2"/>
      <c r="AD18" s="2"/>
      <c r="AE18" s="22"/>
      <c r="AF18" s="2"/>
      <c r="AG18" s="2"/>
      <c r="AH18" s="2"/>
      <c r="AI18" s="22"/>
      <c r="AJ18" s="2"/>
      <c r="AK18" s="3"/>
      <c r="AL18" s="3"/>
      <c r="AM18" s="8">
        <f t="shared" si="0"/>
        <v>92</v>
      </c>
      <c r="AN18" s="13">
        <f>AM18/AM25</f>
        <v>0.44444444444444442</v>
      </c>
      <c r="AO18" s="9"/>
      <c r="AP18" s="12"/>
      <c r="AQ18" s="19"/>
    </row>
    <row r="19" spans="1:44" ht="13.5" customHeight="1" x14ac:dyDescent="0.3">
      <c r="A19" s="25" t="s">
        <v>152</v>
      </c>
      <c r="B19" s="26" t="s">
        <v>102</v>
      </c>
      <c r="C19" s="23">
        <v>7</v>
      </c>
      <c r="D19" s="3"/>
      <c r="E19" s="3">
        <v>2</v>
      </c>
      <c r="F19" s="3">
        <v>2</v>
      </c>
      <c r="G19" s="21">
        <v>22</v>
      </c>
      <c r="H19" s="3">
        <v>6</v>
      </c>
      <c r="I19" s="3">
        <v>2</v>
      </c>
      <c r="J19" s="3">
        <v>6</v>
      </c>
      <c r="K19" s="21">
        <v>15</v>
      </c>
      <c r="L19" s="3">
        <v>2</v>
      </c>
      <c r="M19" s="3">
        <v>2</v>
      </c>
      <c r="N19" s="3">
        <v>6</v>
      </c>
      <c r="O19" s="21">
        <v>15</v>
      </c>
      <c r="P19" s="3">
        <v>6</v>
      </c>
      <c r="Q19" s="3"/>
      <c r="R19" s="2"/>
      <c r="S19" s="22"/>
      <c r="T19" s="2"/>
      <c r="U19" s="2"/>
      <c r="V19" s="2"/>
      <c r="W19" s="22"/>
      <c r="X19" s="2"/>
      <c r="Y19" s="2"/>
      <c r="Z19" s="2"/>
      <c r="AA19" s="22"/>
      <c r="AB19" s="2"/>
      <c r="AC19" s="2"/>
      <c r="AD19" s="2"/>
      <c r="AE19" s="22"/>
      <c r="AF19" s="2"/>
      <c r="AG19" s="2"/>
      <c r="AH19" s="2"/>
      <c r="AI19" s="22"/>
      <c r="AJ19" s="2"/>
      <c r="AK19" s="3"/>
      <c r="AL19" s="3"/>
      <c r="AM19" s="8">
        <f t="shared" si="0"/>
        <v>93</v>
      </c>
      <c r="AN19" s="13">
        <f>AM19/AM25</f>
        <v>0.44927536231884058</v>
      </c>
      <c r="AO19" s="9"/>
      <c r="AP19" s="12"/>
      <c r="AQ19" s="19"/>
    </row>
    <row r="20" spans="1:44" ht="13.5" customHeight="1" x14ac:dyDescent="0.3">
      <c r="A20" s="25" t="s">
        <v>153</v>
      </c>
      <c r="B20" s="26" t="s">
        <v>104</v>
      </c>
      <c r="C20" s="23">
        <v>7</v>
      </c>
      <c r="D20" s="3"/>
      <c r="E20" s="3">
        <v>2</v>
      </c>
      <c r="F20" s="3">
        <v>6</v>
      </c>
      <c r="G20" s="21">
        <v>21</v>
      </c>
      <c r="H20" s="3">
        <v>6</v>
      </c>
      <c r="I20" s="3">
        <v>2</v>
      </c>
      <c r="J20" s="3">
        <v>6</v>
      </c>
      <c r="K20" s="21">
        <v>2</v>
      </c>
      <c r="L20" s="3">
        <v>2</v>
      </c>
      <c r="M20" s="3">
        <v>2</v>
      </c>
      <c r="N20" s="3">
        <v>6</v>
      </c>
      <c r="O20" s="21">
        <v>9</v>
      </c>
      <c r="P20" s="27"/>
      <c r="Q20" s="3"/>
      <c r="R20" s="2"/>
      <c r="S20" s="22"/>
      <c r="T20" s="2"/>
      <c r="U20" s="2"/>
      <c r="V20" s="2"/>
      <c r="W20" s="22"/>
      <c r="X20" s="2"/>
      <c r="Y20" s="2"/>
      <c r="Z20" s="2"/>
      <c r="AA20" s="22"/>
      <c r="AB20" s="2"/>
      <c r="AC20" s="2"/>
      <c r="AD20" s="2"/>
      <c r="AE20" s="22"/>
      <c r="AF20" s="2"/>
      <c r="AG20" s="2"/>
      <c r="AH20" s="2"/>
      <c r="AI20" s="22"/>
      <c r="AJ20" s="2"/>
      <c r="AK20" s="3"/>
      <c r="AL20" s="3"/>
      <c r="AM20" s="8">
        <f t="shared" si="0"/>
        <v>71</v>
      </c>
      <c r="AN20" s="13">
        <f>AM20/AM25</f>
        <v>0.34299516908212563</v>
      </c>
      <c r="AO20" s="9"/>
      <c r="AP20" s="12"/>
      <c r="AQ20" s="19"/>
    </row>
    <row r="21" spans="1:44" ht="13.5" customHeight="1" x14ac:dyDescent="0.3">
      <c r="A21" s="25" t="s">
        <v>154</v>
      </c>
      <c r="B21" s="26" t="s">
        <v>112</v>
      </c>
      <c r="C21" s="23">
        <v>9</v>
      </c>
      <c r="D21" s="3"/>
      <c r="E21" s="36">
        <v>2</v>
      </c>
      <c r="F21" s="3">
        <v>2</v>
      </c>
      <c r="G21" s="21">
        <v>21</v>
      </c>
      <c r="H21" s="3">
        <v>2</v>
      </c>
      <c r="I21" s="3">
        <v>2</v>
      </c>
      <c r="J21" s="3">
        <v>6</v>
      </c>
      <c r="K21" s="21">
        <v>2</v>
      </c>
      <c r="L21" s="3">
        <v>6</v>
      </c>
      <c r="M21" s="3">
        <v>2</v>
      </c>
      <c r="N21" s="3">
        <v>6</v>
      </c>
      <c r="O21" s="21">
        <v>9</v>
      </c>
      <c r="P21" s="3">
        <v>2</v>
      </c>
      <c r="Q21" s="3"/>
      <c r="R21" s="2"/>
      <c r="S21" s="22"/>
      <c r="T21" s="2"/>
      <c r="U21" s="2"/>
      <c r="V21" s="2"/>
      <c r="W21" s="22"/>
      <c r="X21" s="2"/>
      <c r="Y21" s="2"/>
      <c r="Z21" s="2"/>
      <c r="AA21" s="22"/>
      <c r="AB21" s="2"/>
      <c r="AC21" s="2"/>
      <c r="AD21" s="2"/>
      <c r="AE21" s="22"/>
      <c r="AF21" s="2"/>
      <c r="AG21" s="2"/>
      <c r="AH21" s="2"/>
      <c r="AI21" s="22"/>
      <c r="AJ21" s="2"/>
      <c r="AK21" s="3"/>
      <c r="AL21" s="3"/>
      <c r="AM21" s="8">
        <f t="shared" si="0"/>
        <v>71</v>
      </c>
      <c r="AN21" s="13">
        <f>AM21/AM25</f>
        <v>0.34299516908212563</v>
      </c>
      <c r="AO21" s="9"/>
      <c r="AP21" s="12"/>
      <c r="AQ21" s="19"/>
    </row>
    <row r="22" spans="1:44" ht="13.5" customHeight="1" x14ac:dyDescent="0.3">
      <c r="A22" s="25" t="s">
        <v>155</v>
      </c>
      <c r="B22" s="26" t="s">
        <v>115</v>
      </c>
      <c r="C22" s="23">
        <v>10</v>
      </c>
      <c r="D22" s="3"/>
      <c r="E22" s="3">
        <v>2</v>
      </c>
      <c r="F22" s="3">
        <v>6</v>
      </c>
      <c r="G22" s="21">
        <v>21</v>
      </c>
      <c r="H22" s="3">
        <v>6</v>
      </c>
      <c r="I22" s="3">
        <v>2</v>
      </c>
      <c r="J22" s="3">
        <v>6</v>
      </c>
      <c r="K22" s="21">
        <v>8</v>
      </c>
      <c r="L22" s="3">
        <v>6</v>
      </c>
      <c r="M22" s="3">
        <v>2</v>
      </c>
      <c r="N22" s="3">
        <v>6</v>
      </c>
      <c r="O22" s="21">
        <v>9</v>
      </c>
      <c r="P22" s="3">
        <v>6</v>
      </c>
      <c r="Q22" s="3"/>
      <c r="R22" s="2"/>
      <c r="S22" s="22"/>
      <c r="T22" s="2"/>
      <c r="U22" s="2"/>
      <c r="V22" s="2"/>
      <c r="W22" s="22"/>
      <c r="X22" s="2"/>
      <c r="Y22" s="2"/>
      <c r="Z22" s="2"/>
      <c r="AA22" s="22"/>
      <c r="AB22" s="2"/>
      <c r="AC22" s="2"/>
      <c r="AD22" s="2"/>
      <c r="AE22" s="22"/>
      <c r="AF22" s="2"/>
      <c r="AG22" s="2"/>
      <c r="AH22" s="2"/>
      <c r="AI22" s="22"/>
      <c r="AJ22" s="2"/>
      <c r="AK22" s="3"/>
      <c r="AL22" s="3"/>
      <c r="AM22" s="8">
        <f t="shared" si="0"/>
        <v>90</v>
      </c>
      <c r="AN22" s="13">
        <f>AM22/AM25</f>
        <v>0.43478260869565216</v>
      </c>
      <c r="AO22" s="9"/>
      <c r="AP22" s="12"/>
      <c r="AQ22" s="19"/>
    </row>
    <row r="23" spans="1:44" ht="13.5" customHeight="1" x14ac:dyDescent="0.3">
      <c r="A23" s="25" t="s">
        <v>156</v>
      </c>
      <c r="B23" s="26" t="s">
        <v>121</v>
      </c>
      <c r="C23" s="23">
        <v>10</v>
      </c>
      <c r="D23" s="3"/>
      <c r="E23" s="3">
        <v>2</v>
      </c>
      <c r="F23" s="3">
        <v>6</v>
      </c>
      <c r="G23" s="21">
        <v>21</v>
      </c>
      <c r="H23" s="3">
        <v>6</v>
      </c>
      <c r="I23" s="3">
        <v>2</v>
      </c>
      <c r="J23" s="3">
        <v>6</v>
      </c>
      <c r="K23" s="21">
        <v>9</v>
      </c>
      <c r="L23" s="3">
        <v>6</v>
      </c>
      <c r="M23" s="3">
        <v>2</v>
      </c>
      <c r="N23" s="3">
        <v>6</v>
      </c>
      <c r="O23" s="21">
        <v>17</v>
      </c>
      <c r="P23" s="3">
        <v>6</v>
      </c>
      <c r="Q23" s="3"/>
      <c r="R23" s="2"/>
      <c r="S23" s="22"/>
      <c r="T23" s="2"/>
      <c r="U23" s="2"/>
      <c r="V23" s="2"/>
      <c r="W23" s="22"/>
      <c r="X23" s="2"/>
      <c r="Y23" s="2"/>
      <c r="Z23" s="2"/>
      <c r="AA23" s="22"/>
      <c r="AB23" s="2"/>
      <c r="AC23" s="2"/>
      <c r="AD23" s="2"/>
      <c r="AE23" s="22"/>
      <c r="AF23" s="2"/>
      <c r="AG23" s="2"/>
      <c r="AH23" s="2"/>
      <c r="AI23" s="22"/>
      <c r="AJ23" s="2"/>
      <c r="AK23" s="3"/>
      <c r="AL23" s="3"/>
      <c r="AM23" s="8">
        <f t="shared" si="0"/>
        <v>99</v>
      </c>
      <c r="AN23" s="13">
        <f>AM23/AM25</f>
        <v>0.47826086956521741</v>
      </c>
      <c r="AO23" s="9"/>
      <c r="AP23" s="12"/>
      <c r="AQ23" s="19"/>
    </row>
    <row r="24" spans="1:44" ht="13.5" customHeight="1" x14ac:dyDescent="0.3">
      <c r="A24" s="25" t="s">
        <v>157</v>
      </c>
      <c r="B24" s="26" t="s">
        <v>127</v>
      </c>
      <c r="C24" s="23">
        <v>7</v>
      </c>
      <c r="D24" s="3"/>
      <c r="E24" s="3">
        <v>2</v>
      </c>
      <c r="F24" s="3">
        <v>2</v>
      </c>
      <c r="G24" s="21">
        <v>22</v>
      </c>
      <c r="H24" s="3">
        <v>6</v>
      </c>
      <c r="I24" s="3">
        <v>2</v>
      </c>
      <c r="J24" s="3">
        <v>6</v>
      </c>
      <c r="K24" s="27"/>
      <c r="L24" s="3">
        <v>6</v>
      </c>
      <c r="M24" s="3">
        <v>2</v>
      </c>
      <c r="N24" s="3">
        <v>6</v>
      </c>
      <c r="O24" s="21" t="s">
        <v>182</v>
      </c>
      <c r="P24" s="3">
        <v>6</v>
      </c>
      <c r="Q24" s="3"/>
      <c r="R24" s="2"/>
      <c r="S24" s="22"/>
      <c r="T24" s="2"/>
      <c r="U24" s="2"/>
      <c r="V24" s="2"/>
      <c r="W24" s="22"/>
      <c r="X24" s="2"/>
      <c r="Y24" s="2"/>
      <c r="Z24" s="2"/>
      <c r="AA24" s="22"/>
      <c r="AB24" s="2"/>
      <c r="AC24" s="2"/>
      <c r="AD24" s="2"/>
      <c r="AE24" s="22"/>
      <c r="AF24" s="2"/>
      <c r="AG24" s="2"/>
      <c r="AH24" s="2"/>
      <c r="AI24" s="22"/>
      <c r="AJ24" s="2"/>
      <c r="AK24" s="3"/>
      <c r="AL24" s="3"/>
      <c r="AM24" s="8">
        <f t="shared" si="0"/>
        <v>67</v>
      </c>
      <c r="AN24" s="13">
        <f>AM24/AM25</f>
        <v>0.32367149758454106</v>
      </c>
      <c r="AO24" s="9"/>
      <c r="AP24" s="12"/>
      <c r="AQ24" s="19"/>
    </row>
    <row r="25" spans="1:44" s="1" customFormat="1" ht="13.5" customHeight="1" x14ac:dyDescent="0.3">
      <c r="A25" s="42" t="s">
        <v>1</v>
      </c>
      <c r="B25" s="43"/>
      <c r="C25" s="5">
        <v>2</v>
      </c>
      <c r="D25" s="5"/>
      <c r="E25" s="5">
        <v>2</v>
      </c>
      <c r="F25" s="5">
        <v>6</v>
      </c>
      <c r="G25" s="5">
        <v>32</v>
      </c>
      <c r="H25" s="5">
        <v>6</v>
      </c>
      <c r="I25" s="5">
        <v>2</v>
      </c>
      <c r="J25" s="5">
        <v>6</v>
      </c>
      <c r="K25" s="5">
        <v>12</v>
      </c>
      <c r="L25" s="5">
        <v>6</v>
      </c>
      <c r="M25" s="5">
        <v>2</v>
      </c>
      <c r="N25" s="5">
        <v>6</v>
      </c>
      <c r="O25" s="5">
        <v>19</v>
      </c>
      <c r="P25" s="5">
        <v>6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>
        <v>100</v>
      </c>
      <c r="AM25" s="6">
        <f t="shared" si="0"/>
        <v>207</v>
      </c>
      <c r="AN25" s="14">
        <f>AM25/AM25</f>
        <v>1</v>
      </c>
      <c r="AO25" s="7"/>
      <c r="AP25" s="12"/>
      <c r="AQ25" s="19"/>
    </row>
    <row r="26" spans="1:44" s="20" customFormat="1" ht="264.60000000000002" customHeight="1" x14ac:dyDescent="0.3">
      <c r="A26" s="44" t="s">
        <v>12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</row>
    <row r="27" spans="1:44" x14ac:dyDescent="0.3">
      <c r="A27" s="41" t="s">
        <v>164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</row>
    <row r="28" spans="1:44" x14ac:dyDescent="0.3">
      <c r="A28" s="41" t="s">
        <v>165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</row>
    <row r="29" spans="1:44" x14ac:dyDescent="0.3">
      <c r="A29" s="16" t="s">
        <v>170</v>
      </c>
      <c r="B29" s="16" t="s">
        <v>172</v>
      </c>
    </row>
    <row r="30" spans="1:44" x14ac:dyDescent="0.3">
      <c r="A30" s="16" t="s">
        <v>180</v>
      </c>
      <c r="B30" s="16" t="s">
        <v>183</v>
      </c>
    </row>
  </sheetData>
  <mergeCells count="16">
    <mergeCell ref="A27:AP27"/>
    <mergeCell ref="A28:AP28"/>
    <mergeCell ref="A25:B25"/>
    <mergeCell ref="A26:AR26"/>
    <mergeCell ref="AK1:AK2"/>
    <mergeCell ref="AL1:AL2"/>
    <mergeCell ref="AM1:AM2"/>
    <mergeCell ref="AN1:AN2"/>
    <mergeCell ref="AO1:AO2"/>
    <mergeCell ref="AP1:AP2"/>
    <mergeCell ref="A1:A2"/>
    <mergeCell ref="B1:B2"/>
    <mergeCell ref="C1:K1"/>
    <mergeCell ref="L1:T1"/>
    <mergeCell ref="U1:AB1"/>
    <mergeCell ref="AC1:AJ1"/>
  </mergeCells>
  <hyperlinks>
    <hyperlink ref="B3" r:id="rId1" display="https://pro.guap.ru/inside/profile/57083" xr:uid="{2D4F7702-E667-4413-BD5B-A6F517926FF0}"/>
    <hyperlink ref="B4" r:id="rId2" display="https://pro.guap.ru/inside/profile/59252" xr:uid="{2E4A4067-6CC5-412D-B4A7-F670E0DEBD77}"/>
    <hyperlink ref="B5" r:id="rId3" display="https://pro.guap.ru/inside/profile/59269" xr:uid="{EB4C2510-B75D-4B52-8C3D-921B64D1E899}"/>
    <hyperlink ref="B6" r:id="rId4" display="https://pro.guap.ru/inside/profile/57347" xr:uid="{577C04E9-6DFC-4BF9-B863-58DAFD5E51E9}"/>
    <hyperlink ref="B7" r:id="rId5" display="https://pro.guap.ru/inside/profile/57460" xr:uid="{74909F19-FFA2-4C80-BF6B-1F45525711FC}"/>
    <hyperlink ref="B8" r:id="rId6" display="https://pro.guap.ru/inside/profile/57461" xr:uid="{9066C19B-2ABB-4596-A9E5-B909CC7F4CC3}"/>
    <hyperlink ref="B9" r:id="rId7" display="https://pro.guap.ru/inside/profile/57476" xr:uid="{07FBE037-E4A6-4A80-8553-75EA27D9FDAF}"/>
    <hyperlink ref="B10" r:id="rId8" display="https://pro.guap.ru/inside/profile/57477" xr:uid="{747D775F-7356-437B-81FB-49D56E2C8044}"/>
    <hyperlink ref="B11" r:id="rId9" display="https://pro.guap.ru/inside/profile/57485" xr:uid="{DA9DB96E-BD41-4355-BAF6-3D3AE2BE8671}"/>
    <hyperlink ref="B12" r:id="rId10" display="https://pro.guap.ru/inside/profile/57712" xr:uid="{AF7C0C10-6EFE-49D8-834F-F4F5EE6897A5}"/>
    <hyperlink ref="B13" r:id="rId11" display="https://pro.guap.ru/inside/profile/56991" xr:uid="{5FCCED46-21C9-462A-85BE-8BE506C6614C}"/>
    <hyperlink ref="B14" r:id="rId12" display="https://pro.guap.ru/inside/profile/59902" xr:uid="{1B431360-AAEB-4F61-A9EE-1EE4F1A07A1F}"/>
    <hyperlink ref="B15" r:id="rId13" display="https://pro.guap.ru/inside/profile/57951" xr:uid="{54BF665D-8AAF-45EF-921B-EE7F87436E89}"/>
    <hyperlink ref="B16" r:id="rId14" display="https://pro.guap.ru/inside/profile/59950" xr:uid="{DFAA934E-305C-4654-BABF-4CD3C0059F55}"/>
    <hyperlink ref="B17" r:id="rId15" display="https://pro.guap.ru/inside/profile/56935" xr:uid="{BB64EA38-B31B-4CD2-98B9-89B765C5E744}"/>
    <hyperlink ref="B18" r:id="rId16" display="https://pro.guap.ru/inside/profile/57023" xr:uid="{D7E2737A-810C-4AB8-9E09-8BBC4A44BBC4}"/>
    <hyperlink ref="B19" r:id="rId17" display="https://pro.guap.ru/inside/profile/58165" xr:uid="{A78E2900-4E28-462F-85B6-AC846942F6CE}"/>
    <hyperlink ref="B20" r:id="rId18" display="https://pro.guap.ru/inside/profile/60155" xr:uid="{7A9753A2-6C5E-41E5-B040-41F27B4987D8}"/>
    <hyperlink ref="B21" r:id="rId19" display="https://pro.guap.ru/inside/profile/60214" xr:uid="{21A0AB2B-02D0-4C66-A3F8-C7E0D2803999}"/>
    <hyperlink ref="B22" r:id="rId20" display="https://pro.guap.ru/inside/profile/58322" xr:uid="{82CB177E-2A29-4D61-A6DA-5FE1C3FD5CEF}"/>
    <hyperlink ref="B23" r:id="rId21" display="https://pro.guap.ru/inside/profile/58384" xr:uid="{F854E88F-0EE5-4E27-AB91-3C46ACA7115B}"/>
    <hyperlink ref="B24" r:id="rId22" display="https://pro.guap.ru/inside/profile/58449" xr:uid="{7E8B026A-E8D7-48FB-AD2B-93E7A652F9F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F4486-58B9-49EA-A18F-DDCB0DB42B91}">
  <dimension ref="A1:AG31"/>
  <sheetViews>
    <sheetView workbookViewId="0">
      <selection activeCell="Q16" sqref="Q16"/>
    </sheetView>
  </sheetViews>
  <sheetFormatPr defaultColWidth="9.109375" defaultRowHeight="10.199999999999999" x14ac:dyDescent="0.3"/>
  <cols>
    <col min="1" max="1" width="3.33203125" style="16" customWidth="1"/>
    <col min="2" max="2" width="27.33203125" style="17" customWidth="1"/>
    <col min="3" max="3" width="3.77734375" style="24" customWidth="1"/>
    <col min="4" max="27" width="3.77734375" style="1" customWidth="1"/>
    <col min="28" max="28" width="15.77734375" style="16" customWidth="1"/>
    <col min="29" max="29" width="5.77734375" style="16" customWidth="1"/>
    <col min="30" max="33" width="16.77734375" style="16" customWidth="1"/>
    <col min="34" max="16384" width="9.109375" style="16"/>
  </cols>
  <sheetData>
    <row r="1" spans="1:32" s="1" customFormat="1" ht="13.5" customHeight="1" x14ac:dyDescent="0.3">
      <c r="A1" s="51" t="s">
        <v>0</v>
      </c>
      <c r="B1" s="53" t="s">
        <v>135</v>
      </c>
      <c r="C1" s="56"/>
      <c r="D1" s="56"/>
      <c r="E1" s="56"/>
      <c r="F1" s="56"/>
      <c r="G1" s="56"/>
      <c r="H1" s="56"/>
      <c r="I1" s="55" t="s">
        <v>6</v>
      </c>
      <c r="J1" s="56"/>
      <c r="K1" s="56"/>
      <c r="L1" s="56"/>
      <c r="M1" s="56"/>
      <c r="N1" s="56"/>
      <c r="O1" s="57"/>
      <c r="P1" s="55" t="s">
        <v>7</v>
      </c>
      <c r="Q1" s="56"/>
      <c r="R1" s="56"/>
      <c r="S1" s="56"/>
      <c r="T1" s="56"/>
      <c r="U1" s="57"/>
      <c r="V1" s="55" t="s">
        <v>8</v>
      </c>
      <c r="W1" s="56"/>
      <c r="X1" s="56"/>
      <c r="Y1" s="56"/>
      <c r="Z1" s="56"/>
      <c r="AA1" s="57"/>
      <c r="AB1" s="47" t="s">
        <v>2</v>
      </c>
      <c r="AC1" s="47" t="s">
        <v>10</v>
      </c>
      <c r="AD1" s="47" t="s">
        <v>3</v>
      </c>
      <c r="AE1" s="49" t="s">
        <v>4</v>
      </c>
      <c r="AF1" s="18"/>
    </row>
    <row r="2" spans="1:32" s="1" customFormat="1" ht="13.5" customHeight="1" x14ac:dyDescent="0.3">
      <c r="A2" s="52"/>
      <c r="B2" s="54"/>
      <c r="C2" s="10">
        <v>4</v>
      </c>
      <c r="D2" s="11">
        <v>11</v>
      </c>
      <c r="E2" s="11">
        <v>11</v>
      </c>
      <c r="F2" s="10">
        <v>18</v>
      </c>
      <c r="G2" s="11">
        <v>25</v>
      </c>
      <c r="H2" s="11">
        <v>25</v>
      </c>
      <c r="I2" s="10">
        <v>2</v>
      </c>
      <c r="J2" s="11">
        <v>9</v>
      </c>
      <c r="K2" s="11">
        <v>9</v>
      </c>
      <c r="L2" s="10">
        <v>16</v>
      </c>
      <c r="M2" s="11">
        <v>23</v>
      </c>
      <c r="N2" s="11">
        <v>23</v>
      </c>
      <c r="O2" s="10">
        <v>30</v>
      </c>
      <c r="P2" s="11">
        <v>6</v>
      </c>
      <c r="Q2" s="11">
        <v>6</v>
      </c>
      <c r="R2" s="10">
        <v>13</v>
      </c>
      <c r="S2" s="11">
        <v>20</v>
      </c>
      <c r="T2" s="11">
        <v>20</v>
      </c>
      <c r="U2" s="10">
        <v>27</v>
      </c>
      <c r="V2" s="11">
        <v>4</v>
      </c>
      <c r="W2" s="11">
        <v>4</v>
      </c>
      <c r="X2" s="10">
        <v>11</v>
      </c>
      <c r="Y2" s="11">
        <v>18</v>
      </c>
      <c r="Z2" s="11">
        <v>18</v>
      </c>
      <c r="AA2" s="10">
        <v>25</v>
      </c>
      <c r="AB2" s="48"/>
      <c r="AC2" s="48"/>
      <c r="AD2" s="48"/>
      <c r="AE2" s="50"/>
      <c r="AF2" s="18"/>
    </row>
    <row r="3" spans="1:32" ht="13.5" customHeight="1" x14ac:dyDescent="0.3">
      <c r="A3" s="25" t="s">
        <v>136</v>
      </c>
      <c r="B3" s="15" t="s">
        <v>17</v>
      </c>
      <c r="C3" s="2"/>
      <c r="D3" s="3">
        <v>2</v>
      </c>
      <c r="E3" s="3">
        <v>6</v>
      </c>
      <c r="F3" s="27"/>
      <c r="G3" s="3">
        <v>2</v>
      </c>
      <c r="H3" s="3">
        <v>6</v>
      </c>
      <c r="I3" s="3">
        <v>6</v>
      </c>
      <c r="J3" s="3">
        <v>2</v>
      </c>
      <c r="K3" s="3">
        <v>6</v>
      </c>
      <c r="L3" s="3">
        <v>6</v>
      </c>
      <c r="M3" s="3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8">
        <f>SUM(C3:AA3)</f>
        <v>36</v>
      </c>
      <c r="AC3" s="13">
        <f>AB3/AB27</f>
        <v>0.8571428571428571</v>
      </c>
      <c r="AD3" s="9"/>
      <c r="AE3" s="12"/>
      <c r="AF3" s="19"/>
    </row>
    <row r="4" spans="1:32" ht="13.5" customHeight="1" x14ac:dyDescent="0.3">
      <c r="A4" s="25" t="s">
        <v>137</v>
      </c>
      <c r="B4" s="15" t="s">
        <v>33</v>
      </c>
      <c r="C4" s="2"/>
      <c r="D4" s="27"/>
      <c r="E4" s="27"/>
      <c r="F4" s="27"/>
      <c r="G4" s="3">
        <v>2</v>
      </c>
      <c r="H4" s="3">
        <v>6</v>
      </c>
      <c r="I4" s="37"/>
      <c r="J4" s="27"/>
      <c r="K4" s="27"/>
      <c r="L4" s="27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8">
        <f>SUM(C4:AA4)</f>
        <v>8</v>
      </c>
      <c r="AC4" s="13">
        <f>AB4/AB27</f>
        <v>0.19047619047619047</v>
      </c>
      <c r="AD4" s="9" t="s">
        <v>174</v>
      </c>
      <c r="AE4" s="12"/>
      <c r="AF4" s="19"/>
    </row>
    <row r="5" spans="1:32" ht="13.5" customHeight="1" x14ac:dyDescent="0.3">
      <c r="A5" s="25" t="s">
        <v>138</v>
      </c>
      <c r="B5" s="15" t="s">
        <v>39</v>
      </c>
      <c r="C5" s="2"/>
      <c r="D5" s="3">
        <v>2</v>
      </c>
      <c r="E5" s="3">
        <v>2</v>
      </c>
      <c r="F5" s="3">
        <v>6</v>
      </c>
      <c r="G5" s="3">
        <v>2</v>
      </c>
      <c r="H5" s="3">
        <v>2</v>
      </c>
      <c r="I5" s="3">
        <v>2</v>
      </c>
      <c r="J5" s="27"/>
      <c r="K5" s="27"/>
      <c r="L5" s="27"/>
      <c r="M5" s="3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8">
        <f t="shared" ref="AB5:AB24" si="0">SUM(C5:AA5)</f>
        <v>16</v>
      </c>
      <c r="AC5" s="13">
        <f>AB5/AB27</f>
        <v>0.38095238095238093</v>
      </c>
      <c r="AD5" s="9"/>
      <c r="AE5" s="12"/>
      <c r="AF5" s="19"/>
    </row>
    <row r="6" spans="1:32" ht="13.5" customHeight="1" x14ac:dyDescent="0.3">
      <c r="A6" s="25" t="s">
        <v>139</v>
      </c>
      <c r="B6" s="15" t="s">
        <v>43</v>
      </c>
      <c r="C6" s="2"/>
      <c r="D6" s="3">
        <v>2</v>
      </c>
      <c r="E6" s="3">
        <v>2</v>
      </c>
      <c r="F6" s="27"/>
      <c r="G6" s="3">
        <v>2</v>
      </c>
      <c r="H6" s="3">
        <v>6</v>
      </c>
      <c r="I6" s="27"/>
      <c r="J6" s="3">
        <v>2</v>
      </c>
      <c r="K6" s="3">
        <v>6</v>
      </c>
      <c r="L6" s="3">
        <v>2</v>
      </c>
      <c r="M6" s="3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8">
        <f t="shared" si="0"/>
        <v>22</v>
      </c>
      <c r="AC6" s="13">
        <f>AB6/AB27</f>
        <v>0.52380952380952384</v>
      </c>
      <c r="AD6" s="9"/>
      <c r="AE6" s="12"/>
      <c r="AF6" s="19"/>
    </row>
    <row r="7" spans="1:32" ht="13.5" customHeight="1" x14ac:dyDescent="0.3">
      <c r="A7" s="25" t="s">
        <v>140</v>
      </c>
      <c r="B7" s="15" t="s">
        <v>45</v>
      </c>
      <c r="C7" s="2"/>
      <c r="D7" s="3">
        <v>2</v>
      </c>
      <c r="E7" s="3">
        <v>6</v>
      </c>
      <c r="F7" s="27"/>
      <c r="G7" s="27"/>
      <c r="H7" s="27"/>
      <c r="I7" s="27"/>
      <c r="J7" s="27"/>
      <c r="K7" s="27"/>
      <c r="L7" s="27"/>
      <c r="M7" s="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8">
        <f t="shared" si="0"/>
        <v>8</v>
      </c>
      <c r="AC7" s="13">
        <f>AB7/AB27</f>
        <v>0.19047619047619047</v>
      </c>
      <c r="AD7" s="9"/>
      <c r="AE7" s="12"/>
      <c r="AF7" s="19"/>
    </row>
    <row r="8" spans="1:32" ht="13.5" customHeight="1" x14ac:dyDescent="0.3">
      <c r="A8" s="25" t="s">
        <v>141</v>
      </c>
      <c r="B8" s="15" t="s">
        <v>60</v>
      </c>
      <c r="C8" s="2"/>
      <c r="D8" s="3">
        <v>2</v>
      </c>
      <c r="E8" s="3">
        <v>6</v>
      </c>
      <c r="F8" s="3">
        <v>6</v>
      </c>
      <c r="G8" s="3">
        <v>2</v>
      </c>
      <c r="H8" s="3">
        <v>6</v>
      </c>
      <c r="I8" s="3">
        <v>2</v>
      </c>
      <c r="J8" s="3">
        <v>2</v>
      </c>
      <c r="K8" s="3">
        <v>6</v>
      </c>
      <c r="L8" s="3">
        <v>6</v>
      </c>
      <c r="M8" s="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8">
        <f t="shared" si="0"/>
        <v>38</v>
      </c>
      <c r="AC8" s="13">
        <f>AB8/AB27</f>
        <v>0.90476190476190477</v>
      </c>
      <c r="AD8" s="9"/>
      <c r="AE8" s="12"/>
      <c r="AF8" s="19"/>
    </row>
    <row r="9" spans="1:32" ht="13.5" customHeight="1" x14ac:dyDescent="0.3">
      <c r="A9" s="25" t="s">
        <v>142</v>
      </c>
      <c r="B9" s="15" t="s">
        <v>62</v>
      </c>
      <c r="C9" s="2"/>
      <c r="D9" s="3">
        <v>2</v>
      </c>
      <c r="E9" s="3">
        <v>2</v>
      </c>
      <c r="F9" s="3">
        <v>6</v>
      </c>
      <c r="G9" s="3">
        <v>2</v>
      </c>
      <c r="H9" s="3">
        <v>6</v>
      </c>
      <c r="I9" s="3">
        <v>6</v>
      </c>
      <c r="J9" s="27"/>
      <c r="K9" s="27"/>
      <c r="L9" s="3">
        <v>2</v>
      </c>
      <c r="M9" s="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8">
        <f t="shared" si="0"/>
        <v>26</v>
      </c>
      <c r="AC9" s="13">
        <f>AB9/AB27</f>
        <v>0.61904761904761907</v>
      </c>
      <c r="AD9" s="9"/>
      <c r="AE9" s="12"/>
      <c r="AF9" s="19"/>
    </row>
    <row r="10" spans="1:32" ht="13.5" customHeight="1" x14ac:dyDescent="0.3">
      <c r="A10" s="25" t="s">
        <v>143</v>
      </c>
      <c r="B10" s="15" t="s">
        <v>69</v>
      </c>
      <c r="C10" s="2"/>
      <c r="D10" s="3">
        <v>2</v>
      </c>
      <c r="E10" s="3">
        <v>6</v>
      </c>
      <c r="F10" s="3">
        <v>6</v>
      </c>
      <c r="G10" s="3">
        <v>2</v>
      </c>
      <c r="H10" s="3">
        <v>6</v>
      </c>
      <c r="I10" s="3">
        <v>6</v>
      </c>
      <c r="J10" s="3">
        <v>2</v>
      </c>
      <c r="K10" s="3">
        <v>6</v>
      </c>
      <c r="L10" s="3">
        <v>6</v>
      </c>
      <c r="M10" s="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8">
        <f t="shared" si="0"/>
        <v>42</v>
      </c>
      <c r="AC10" s="13">
        <f>AB10/AB27</f>
        <v>1</v>
      </c>
      <c r="AD10" s="9"/>
      <c r="AE10" s="12"/>
      <c r="AF10" s="19"/>
    </row>
    <row r="11" spans="1:32" ht="13.5" customHeight="1" x14ac:dyDescent="0.3">
      <c r="A11" s="25" t="s">
        <v>144</v>
      </c>
      <c r="B11" s="15" t="s">
        <v>72</v>
      </c>
      <c r="C11" s="2"/>
      <c r="D11" s="3">
        <v>2</v>
      </c>
      <c r="E11" s="3">
        <v>2</v>
      </c>
      <c r="F11" s="3">
        <v>6</v>
      </c>
      <c r="G11" s="3">
        <v>2</v>
      </c>
      <c r="H11" s="3">
        <v>6</v>
      </c>
      <c r="I11" s="3">
        <v>6</v>
      </c>
      <c r="J11" s="3">
        <v>2</v>
      </c>
      <c r="K11" s="3">
        <v>6</v>
      </c>
      <c r="L11" s="3">
        <v>6</v>
      </c>
      <c r="M11" s="3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8">
        <f t="shared" si="0"/>
        <v>38</v>
      </c>
      <c r="AC11" s="13">
        <f>AB11/AB27</f>
        <v>0.90476190476190477</v>
      </c>
      <c r="AD11" s="9"/>
      <c r="AE11" s="12"/>
      <c r="AF11" s="19"/>
    </row>
    <row r="12" spans="1:32" ht="13.5" customHeight="1" x14ac:dyDescent="0.3">
      <c r="A12" s="25" t="s">
        <v>145</v>
      </c>
      <c r="B12" s="15" t="s">
        <v>75</v>
      </c>
      <c r="C12" s="2"/>
      <c r="D12" s="3">
        <v>2</v>
      </c>
      <c r="E12" s="3">
        <v>6</v>
      </c>
      <c r="F12" s="3">
        <v>6</v>
      </c>
      <c r="G12" s="3">
        <v>2</v>
      </c>
      <c r="H12" s="3">
        <v>6</v>
      </c>
      <c r="I12" s="3">
        <v>2</v>
      </c>
      <c r="J12" s="3">
        <v>2</v>
      </c>
      <c r="K12" s="3">
        <v>6</v>
      </c>
      <c r="L12" s="3">
        <v>2</v>
      </c>
      <c r="M12" s="3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8">
        <f t="shared" si="0"/>
        <v>34</v>
      </c>
      <c r="AC12" s="13">
        <f>AB12/AB27</f>
        <v>0.80952380952380953</v>
      </c>
      <c r="AD12" s="9"/>
      <c r="AE12" s="12"/>
      <c r="AF12" s="19"/>
    </row>
    <row r="13" spans="1:32" ht="13.5" customHeight="1" x14ac:dyDescent="0.3">
      <c r="A13" s="25" t="s">
        <v>146</v>
      </c>
      <c r="B13" s="15" t="s">
        <v>77</v>
      </c>
      <c r="C13" s="2"/>
      <c r="D13" s="3">
        <v>2</v>
      </c>
      <c r="E13" s="3">
        <v>6</v>
      </c>
      <c r="F13" s="3">
        <v>6</v>
      </c>
      <c r="G13" s="3">
        <v>2</v>
      </c>
      <c r="H13" s="3">
        <v>6</v>
      </c>
      <c r="I13" s="3">
        <v>6</v>
      </c>
      <c r="J13" s="3">
        <v>2</v>
      </c>
      <c r="K13" s="3">
        <v>6</v>
      </c>
      <c r="L13" s="3">
        <v>6</v>
      </c>
      <c r="M13" s="3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8">
        <f t="shared" si="0"/>
        <v>42</v>
      </c>
      <c r="AC13" s="13">
        <f>AB13/AB27</f>
        <v>1</v>
      </c>
      <c r="AD13" s="9"/>
      <c r="AE13" s="12"/>
      <c r="AF13" s="19"/>
    </row>
    <row r="14" spans="1:32" ht="13.5" customHeight="1" x14ac:dyDescent="0.3">
      <c r="A14" s="25" t="s">
        <v>147</v>
      </c>
      <c r="B14" s="15" t="s">
        <v>84</v>
      </c>
      <c r="C14" s="2"/>
      <c r="D14" s="3">
        <v>2</v>
      </c>
      <c r="E14" s="3">
        <v>2</v>
      </c>
      <c r="F14" s="3">
        <v>6</v>
      </c>
      <c r="G14" s="3">
        <v>2</v>
      </c>
      <c r="H14" s="3">
        <v>6</v>
      </c>
      <c r="I14" s="37"/>
      <c r="J14" s="3">
        <v>2</v>
      </c>
      <c r="K14" s="3">
        <v>6</v>
      </c>
      <c r="L14" s="27"/>
      <c r="M14" s="3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8">
        <f t="shared" si="0"/>
        <v>26</v>
      </c>
      <c r="AC14" s="13">
        <f>AB14/AB27</f>
        <v>0.61904761904761907</v>
      </c>
      <c r="AD14" s="9" t="s">
        <v>175</v>
      </c>
      <c r="AE14" s="12"/>
      <c r="AF14" s="19"/>
    </row>
    <row r="15" spans="1:32" ht="13.5" customHeight="1" x14ac:dyDescent="0.3">
      <c r="A15" s="25" t="s">
        <v>148</v>
      </c>
      <c r="B15" s="15" t="s">
        <v>89</v>
      </c>
      <c r="C15" s="2"/>
      <c r="D15" s="36">
        <v>2</v>
      </c>
      <c r="E15" s="3">
        <v>6</v>
      </c>
      <c r="F15" s="3">
        <v>6</v>
      </c>
      <c r="G15" s="3">
        <v>2</v>
      </c>
      <c r="H15" s="3">
        <v>6</v>
      </c>
      <c r="I15" s="3">
        <v>2</v>
      </c>
      <c r="J15" s="3">
        <v>2</v>
      </c>
      <c r="K15" s="3">
        <v>6</v>
      </c>
      <c r="L15" s="3">
        <v>2</v>
      </c>
      <c r="M15" s="3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8">
        <f t="shared" si="0"/>
        <v>34</v>
      </c>
      <c r="AC15" s="13">
        <f>AB15/AB27</f>
        <v>0.80952380952380953</v>
      </c>
      <c r="AD15" s="9"/>
      <c r="AE15" s="12"/>
      <c r="AF15" s="19"/>
    </row>
    <row r="16" spans="1:32" ht="13.5" customHeight="1" x14ac:dyDescent="0.3">
      <c r="A16" s="25" t="s">
        <v>149</v>
      </c>
      <c r="B16" s="15" t="s">
        <v>94</v>
      </c>
      <c r="C16" s="2"/>
      <c r="D16" s="3">
        <v>2</v>
      </c>
      <c r="E16" s="3">
        <v>6</v>
      </c>
      <c r="F16" s="27"/>
      <c r="G16" s="3">
        <v>2</v>
      </c>
      <c r="H16" s="3">
        <v>6</v>
      </c>
      <c r="I16" s="3">
        <v>6</v>
      </c>
      <c r="J16" s="3">
        <v>2</v>
      </c>
      <c r="K16" s="3">
        <v>6</v>
      </c>
      <c r="L16" s="27"/>
      <c r="M16" s="3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8">
        <f t="shared" si="0"/>
        <v>30</v>
      </c>
      <c r="AC16" s="13">
        <f>AB16/AB27</f>
        <v>0.7142857142857143</v>
      </c>
      <c r="AD16" s="9"/>
      <c r="AE16" s="12"/>
      <c r="AF16" s="19"/>
    </row>
    <row r="17" spans="1:33" ht="13.5" customHeight="1" x14ac:dyDescent="0.3">
      <c r="A17" s="25" t="s">
        <v>150</v>
      </c>
      <c r="B17" s="15" t="s">
        <v>99</v>
      </c>
      <c r="C17" s="2"/>
      <c r="D17" s="3">
        <v>2</v>
      </c>
      <c r="E17" s="3">
        <v>2</v>
      </c>
      <c r="F17" s="3">
        <v>6</v>
      </c>
      <c r="G17" s="3">
        <v>2</v>
      </c>
      <c r="H17" s="3">
        <v>6</v>
      </c>
      <c r="I17" s="3">
        <v>6</v>
      </c>
      <c r="J17" s="3">
        <v>2</v>
      </c>
      <c r="K17" s="3">
        <v>6</v>
      </c>
      <c r="L17" s="3">
        <v>6</v>
      </c>
      <c r="M17" s="3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8">
        <f t="shared" si="0"/>
        <v>38</v>
      </c>
      <c r="AC17" s="13">
        <f>AB17/AB27</f>
        <v>0.90476190476190477</v>
      </c>
      <c r="AD17" s="9"/>
      <c r="AE17" s="12"/>
      <c r="AF17" s="19"/>
    </row>
    <row r="18" spans="1:33" ht="13.5" customHeight="1" x14ac:dyDescent="0.3">
      <c r="A18" s="25" t="s">
        <v>151</v>
      </c>
      <c r="B18" s="15" t="s">
        <v>105</v>
      </c>
      <c r="C18" s="2"/>
      <c r="D18" s="3">
        <v>2</v>
      </c>
      <c r="E18" s="3">
        <v>2</v>
      </c>
      <c r="F18" s="27"/>
      <c r="G18" s="3">
        <v>2</v>
      </c>
      <c r="H18" s="3">
        <v>6</v>
      </c>
      <c r="I18" s="3">
        <v>2</v>
      </c>
      <c r="J18" s="3">
        <v>2</v>
      </c>
      <c r="K18" s="3">
        <v>6</v>
      </c>
      <c r="L18" s="3">
        <v>2</v>
      </c>
      <c r="M18" s="3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8">
        <f t="shared" si="0"/>
        <v>24</v>
      </c>
      <c r="AC18" s="13">
        <f>AB18/AB27</f>
        <v>0.5714285714285714</v>
      </c>
      <c r="AD18" s="9"/>
      <c r="AE18" s="12"/>
      <c r="AF18" s="19"/>
    </row>
    <row r="19" spans="1:33" ht="13.5" customHeight="1" x14ac:dyDescent="0.3">
      <c r="A19" s="25" t="s">
        <v>152</v>
      </c>
      <c r="B19" s="15" t="s">
        <v>106</v>
      </c>
      <c r="C19" s="2"/>
      <c r="D19" s="3">
        <v>2</v>
      </c>
      <c r="E19" s="3">
        <v>6</v>
      </c>
      <c r="F19" s="3">
        <v>6</v>
      </c>
      <c r="G19" s="3">
        <v>2</v>
      </c>
      <c r="H19" s="3">
        <v>6</v>
      </c>
      <c r="I19" s="3">
        <v>6</v>
      </c>
      <c r="J19" s="3">
        <v>2</v>
      </c>
      <c r="K19" s="3">
        <v>6</v>
      </c>
      <c r="L19" s="3">
        <v>6</v>
      </c>
      <c r="M19" s="3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8">
        <f t="shared" si="0"/>
        <v>42</v>
      </c>
      <c r="AC19" s="13">
        <f>AB19/AB27</f>
        <v>1</v>
      </c>
      <c r="AD19" s="9"/>
      <c r="AE19" s="12"/>
      <c r="AF19" s="19"/>
    </row>
    <row r="20" spans="1:33" ht="13.5" customHeight="1" x14ac:dyDescent="0.3">
      <c r="A20" s="25" t="s">
        <v>153</v>
      </c>
      <c r="B20" s="15" t="s">
        <v>107</v>
      </c>
      <c r="C20" s="2"/>
      <c r="D20" s="3">
        <v>2</v>
      </c>
      <c r="E20" s="3">
        <v>2</v>
      </c>
      <c r="F20" s="3">
        <v>6</v>
      </c>
      <c r="G20" s="3">
        <v>2</v>
      </c>
      <c r="H20" s="3">
        <v>6</v>
      </c>
      <c r="I20" s="3">
        <v>6</v>
      </c>
      <c r="J20" s="27"/>
      <c r="K20" s="27"/>
      <c r="L20" s="3">
        <v>6</v>
      </c>
      <c r="M20" s="3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8">
        <f t="shared" si="0"/>
        <v>30</v>
      </c>
      <c r="AC20" s="13">
        <f>AB20/AB27</f>
        <v>0.7142857142857143</v>
      </c>
      <c r="AD20" s="9"/>
      <c r="AE20" s="12"/>
      <c r="AF20" s="19"/>
    </row>
    <row r="21" spans="1:33" ht="13.5" customHeight="1" x14ac:dyDescent="0.3">
      <c r="A21" s="25" t="s">
        <v>154</v>
      </c>
      <c r="B21" s="15" t="s">
        <v>109</v>
      </c>
      <c r="C21" s="2"/>
      <c r="D21" s="3">
        <v>2</v>
      </c>
      <c r="E21" s="3">
        <v>6</v>
      </c>
      <c r="F21" s="3">
        <v>6</v>
      </c>
      <c r="G21" s="3">
        <v>2</v>
      </c>
      <c r="H21" s="3">
        <v>6</v>
      </c>
      <c r="I21" s="3">
        <v>2</v>
      </c>
      <c r="J21" s="27"/>
      <c r="K21" s="27"/>
      <c r="L21" s="3">
        <v>2</v>
      </c>
      <c r="M21" s="3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8">
        <f t="shared" si="0"/>
        <v>26</v>
      </c>
      <c r="AC21" s="13">
        <f>AB21/AB27</f>
        <v>0.61904761904761907</v>
      </c>
      <c r="AD21" s="9"/>
      <c r="AE21" s="12"/>
      <c r="AF21" s="19"/>
    </row>
    <row r="22" spans="1:33" ht="13.5" customHeight="1" x14ac:dyDescent="0.3">
      <c r="A22" s="25" t="s">
        <v>155</v>
      </c>
      <c r="B22" s="15" t="s">
        <v>113</v>
      </c>
      <c r="C22" s="2"/>
      <c r="D22" s="3">
        <v>2</v>
      </c>
      <c r="E22" s="3">
        <v>6</v>
      </c>
      <c r="F22" s="3">
        <v>6</v>
      </c>
      <c r="G22" s="3">
        <v>2</v>
      </c>
      <c r="H22" s="3">
        <v>6</v>
      </c>
      <c r="I22" s="3">
        <v>2</v>
      </c>
      <c r="J22" s="3">
        <v>2</v>
      </c>
      <c r="K22" s="3">
        <v>6</v>
      </c>
      <c r="L22" s="3">
        <v>6</v>
      </c>
      <c r="M22" s="3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8">
        <f t="shared" si="0"/>
        <v>38</v>
      </c>
      <c r="AC22" s="13">
        <f>AB22/AB27</f>
        <v>0.90476190476190477</v>
      </c>
      <c r="AD22" s="9"/>
      <c r="AE22" s="12"/>
      <c r="AF22" s="19"/>
    </row>
    <row r="23" spans="1:33" ht="13.5" customHeight="1" x14ac:dyDescent="0.3">
      <c r="A23" s="25" t="s">
        <v>156</v>
      </c>
      <c r="B23" s="15" t="s">
        <v>118</v>
      </c>
      <c r="C23" s="2"/>
      <c r="D23" s="3">
        <v>2</v>
      </c>
      <c r="E23" s="3">
        <v>2</v>
      </c>
      <c r="F23" s="3">
        <v>6</v>
      </c>
      <c r="G23" s="3">
        <v>2</v>
      </c>
      <c r="H23" s="3">
        <v>6</v>
      </c>
      <c r="I23" s="3">
        <v>6</v>
      </c>
      <c r="J23" s="3">
        <v>2</v>
      </c>
      <c r="K23" s="3">
        <v>6</v>
      </c>
      <c r="L23" s="3">
        <v>2</v>
      </c>
      <c r="M23" s="3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8">
        <f t="shared" si="0"/>
        <v>34</v>
      </c>
      <c r="AC23" s="13">
        <f>AB23/AB27</f>
        <v>0.80952380952380953</v>
      </c>
      <c r="AD23" s="9"/>
      <c r="AE23" s="12"/>
      <c r="AF23" s="19"/>
    </row>
    <row r="24" spans="1:33" ht="13.5" customHeight="1" x14ac:dyDescent="0.3">
      <c r="A24" s="25" t="s">
        <v>157</v>
      </c>
      <c r="B24" s="15" t="s">
        <v>122</v>
      </c>
      <c r="C24" s="2"/>
      <c r="D24" s="3">
        <v>2</v>
      </c>
      <c r="E24" s="3">
        <v>6</v>
      </c>
      <c r="F24" s="3">
        <v>6</v>
      </c>
      <c r="G24" s="27"/>
      <c r="H24" s="27"/>
      <c r="I24" s="3">
        <v>6</v>
      </c>
      <c r="J24" s="27"/>
      <c r="K24" s="27"/>
      <c r="L24" s="27"/>
      <c r="M24" s="3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8">
        <f t="shared" si="0"/>
        <v>20</v>
      </c>
      <c r="AC24" s="13">
        <f>AB24/AB27</f>
        <v>0.47619047619047616</v>
      </c>
      <c r="AD24" s="9"/>
      <c r="AE24" s="12"/>
      <c r="AF24" s="19"/>
    </row>
    <row r="25" spans="1:33" ht="13.5" customHeight="1" x14ac:dyDescent="0.3">
      <c r="A25" s="25" t="s">
        <v>158</v>
      </c>
      <c r="B25" s="15" t="s">
        <v>125</v>
      </c>
      <c r="C25" s="2"/>
      <c r="D25" s="27"/>
      <c r="E25" s="27"/>
      <c r="F25" s="27"/>
      <c r="G25" s="27"/>
      <c r="H25" s="27"/>
      <c r="I25" s="27"/>
      <c r="J25" s="27"/>
      <c r="K25" s="27"/>
      <c r="L25" s="27"/>
      <c r="M25" s="3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8"/>
      <c r="AC25" s="13"/>
      <c r="AD25" s="9"/>
      <c r="AE25" s="12"/>
      <c r="AF25" s="19"/>
    </row>
    <row r="26" spans="1:33" ht="13.5" customHeight="1" x14ac:dyDescent="0.3">
      <c r="A26" s="25" t="s">
        <v>159</v>
      </c>
      <c r="B26" s="15" t="s">
        <v>128</v>
      </c>
      <c r="C26" s="2"/>
      <c r="D26" s="27"/>
      <c r="E26" s="27"/>
      <c r="F26" s="27"/>
      <c r="G26" s="27"/>
      <c r="H26" s="27"/>
      <c r="I26" s="3">
        <v>2</v>
      </c>
      <c r="J26" s="3">
        <v>2</v>
      </c>
      <c r="K26" s="3">
        <v>6</v>
      </c>
      <c r="L26" s="27"/>
      <c r="M26" s="3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8">
        <f>SUM(C26:AA26)</f>
        <v>10</v>
      </c>
      <c r="AC26" s="13">
        <f>AB26/AB27</f>
        <v>0.23809523809523808</v>
      </c>
      <c r="AD26" s="9"/>
      <c r="AE26" s="12"/>
      <c r="AF26" s="19"/>
    </row>
    <row r="27" spans="1:33" s="1" customFormat="1" ht="13.5" customHeight="1" x14ac:dyDescent="0.3">
      <c r="A27" s="61" t="s">
        <v>1</v>
      </c>
      <c r="B27" s="62"/>
      <c r="C27" s="28"/>
      <c r="D27" s="28">
        <v>2</v>
      </c>
      <c r="E27" s="28">
        <v>6</v>
      </c>
      <c r="F27" s="5">
        <v>6</v>
      </c>
      <c r="G27" s="5">
        <v>2</v>
      </c>
      <c r="H27" s="5">
        <v>6</v>
      </c>
      <c r="I27" s="5">
        <v>6</v>
      </c>
      <c r="J27" s="5">
        <v>2</v>
      </c>
      <c r="K27" s="5">
        <v>6</v>
      </c>
      <c r="L27" s="5">
        <v>6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6">
        <f>SUM(C27:AA27)</f>
        <v>42</v>
      </c>
      <c r="AC27" s="14">
        <f>AB27/AB27</f>
        <v>1</v>
      </c>
      <c r="AD27" s="7"/>
      <c r="AE27" s="12"/>
      <c r="AF27" s="19"/>
    </row>
    <row r="28" spans="1:33" s="1" customFormat="1" ht="13.5" customHeight="1" x14ac:dyDescent="0.3">
      <c r="A28" s="29"/>
      <c r="B28" s="29"/>
      <c r="C28" s="30"/>
      <c r="D28" s="30"/>
      <c r="E28" s="30"/>
      <c r="AB28" s="63" t="s">
        <v>161</v>
      </c>
      <c r="AC28" s="63"/>
      <c r="AD28" s="63"/>
      <c r="AE28" s="63"/>
      <c r="AF28" s="19"/>
    </row>
    <row r="29" spans="1:33" s="1" customFormat="1" ht="13.5" customHeight="1" x14ac:dyDescent="0.3">
      <c r="A29" s="38"/>
      <c r="B29" s="38"/>
      <c r="L29" s="40"/>
      <c r="M29" s="16" t="s">
        <v>173</v>
      </c>
      <c r="N29" s="16"/>
      <c r="O29" s="16"/>
      <c r="P29" s="16"/>
      <c r="Q29" s="16"/>
      <c r="R29" s="16"/>
      <c r="S29" s="16"/>
      <c r="T29" s="16"/>
      <c r="AB29" s="39"/>
      <c r="AC29" s="39"/>
      <c r="AD29" s="39"/>
      <c r="AE29" s="39"/>
      <c r="AF29" s="19"/>
    </row>
    <row r="30" spans="1:33" x14ac:dyDescent="0.3">
      <c r="C30" s="1"/>
      <c r="M30" s="16"/>
      <c r="N30" s="16"/>
      <c r="O30" s="16"/>
      <c r="P30" s="16"/>
      <c r="Q30" s="16"/>
    </row>
    <row r="31" spans="1:33" s="20" customFormat="1" ht="264.60000000000002" customHeight="1" x14ac:dyDescent="0.3">
      <c r="A31" s="44" t="s">
        <v>12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</row>
  </sheetData>
  <mergeCells count="13">
    <mergeCell ref="A27:B27"/>
    <mergeCell ref="A31:AG31"/>
    <mergeCell ref="AB1:AB2"/>
    <mergeCell ref="AC1:AC2"/>
    <mergeCell ref="AD1:AD2"/>
    <mergeCell ref="AE1:AE2"/>
    <mergeCell ref="A1:A2"/>
    <mergeCell ref="B1:B2"/>
    <mergeCell ref="C1:H1"/>
    <mergeCell ref="I1:O1"/>
    <mergeCell ref="P1:U1"/>
    <mergeCell ref="V1:AA1"/>
    <mergeCell ref="AB28:AE28"/>
  </mergeCells>
  <hyperlinks>
    <hyperlink ref="B3" r:id="rId1" display="https://pro.guap.ru/inside/profile/59225" xr:uid="{12EC4AD6-D79E-4E2F-B1AD-011B5DB54940}"/>
    <hyperlink ref="B4" r:id="rId2" display="https://pro.guap.ru/inside/profile/57317" xr:uid="{20176E98-C5C8-41F4-99B5-CBF52A09AB15}"/>
    <hyperlink ref="B5" r:id="rId3" display="https://pro.guap.ru/inside/profile/59428" xr:uid="{86EB127D-5594-4861-B76B-17AAE1328D18}"/>
    <hyperlink ref="B6" r:id="rId4" display="https://pro.guap.ru/inside/profile/57425" xr:uid="{91BB3314-BF72-4204-BEF6-C7227ABC4633}"/>
    <hyperlink ref="B7" r:id="rId5" display="https://pro.guap.ru/inside/profile/59479" xr:uid="{D83B44B4-1E95-4EC1-95CD-02764A16378C}"/>
    <hyperlink ref="B8" r:id="rId6" display="https://pro.guap.ru/inside/profile/59621" xr:uid="{FECE4F53-A2E0-477E-ADEB-DB238B90920B}"/>
    <hyperlink ref="B9" r:id="rId7" display="https://pro.guap.ru/inside/profile/57628" xr:uid="{60616841-0CCC-4253-9FD9-F884ED8758C9}"/>
    <hyperlink ref="B10" r:id="rId8" display="https://pro.guap.ru/inside/profile/57754" xr:uid="{9B5586F6-E2BC-4011-8317-81FA0784DBCA}"/>
    <hyperlink ref="B11" r:id="rId9" display="https://pro.guap.ru/inside/profile/57846" xr:uid="{B8E81FED-CCA3-4AC9-9D91-C0DE3A6142C4}"/>
    <hyperlink ref="B12" r:id="rId10" display="https://pro.guap.ru/inside/profile/57866" xr:uid="{43482821-852A-4D27-973B-5E3088BA40C5}"/>
    <hyperlink ref="B13" r:id="rId11" display="https://pro.guap.ru/inside/profile/57898" xr:uid="{A451ADB9-AA7B-41C8-8122-C5BEBB7CBC04}"/>
    <hyperlink ref="B14" r:id="rId12" display="https://pro.guap.ru/inside/profile/59939" xr:uid="{83C94241-9C21-4510-9E45-9EA56A77F5FC}"/>
    <hyperlink ref="B15" r:id="rId13" display="https://pro.guap.ru/inside/profile/58016" xr:uid="{FD28B8A7-0784-40C4-852B-82DB950BE5F7}"/>
    <hyperlink ref="B16" r:id="rId14" display="https://pro.guap.ru/inside/profile/58084" xr:uid="{BB60E124-675D-4B49-B6B7-301A33698898}"/>
    <hyperlink ref="B17" r:id="rId15" display="https://pro.guap.ru/inside/profile/56946" xr:uid="{A5172A9E-5970-41D1-94CC-CFBB8083D1FD}"/>
    <hyperlink ref="B18" r:id="rId16" display="https://pro.guap.ru/inside/profile/58232" xr:uid="{187C17AE-1BC1-49AC-B726-D60044E973DA}"/>
    <hyperlink ref="B19" r:id="rId17" display="https://pro.guap.ru/inside/profile/58236" xr:uid="{03167D28-4168-4DCC-BBAA-DAC35A88370B}"/>
    <hyperlink ref="B20" r:id="rId18" display="https://pro.guap.ru/inside/profile/58239" xr:uid="{632EEDBA-67F4-452B-B6D5-2BF340751CD5}"/>
    <hyperlink ref="B21" r:id="rId19" display="https://pro.guap.ru/inside/profile/60196" xr:uid="{672AE49A-2483-4B3F-B79A-9193BFDFE139}"/>
    <hyperlink ref="B22" r:id="rId20" display="https://pro.guap.ru/inside/profile/58294" xr:uid="{EF4B35FF-F852-4329-A106-1D8D42DBA255}"/>
    <hyperlink ref="B23" r:id="rId21" display="https://pro.guap.ru/inside/profile/56960" xr:uid="{F3D85730-5184-44B5-93FA-4A8ABA95B4D3}"/>
    <hyperlink ref="B24" r:id="rId22" display="https://pro.guap.ru/inside/profile/58390" xr:uid="{0C31B35E-C765-4FC1-A623-B800FF91486E}"/>
    <hyperlink ref="B25" r:id="rId23" display="https://pro.guap.ru/inside/profile/60297" xr:uid="{09EEB701-EEAB-4C26-AFE3-7C7DD4954955}"/>
    <hyperlink ref="B26" r:id="rId24" display="https://pro.guap.ru/inside/profile/58457" xr:uid="{0B5441D3-B2FA-49E0-9870-C27DE96B6B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4614</vt:lpstr>
      <vt:lpstr>4615</vt:lpstr>
      <vt:lpstr>4616</vt:lpstr>
      <vt:lpstr>4617</vt:lpstr>
      <vt:lpstr>4618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</dc:creator>
  <cp:lastModifiedBy>Иван Меркулов</cp:lastModifiedBy>
  <cp:lastPrinted>2024-06-09T18:15:51Z</cp:lastPrinted>
  <dcterms:created xsi:type="dcterms:W3CDTF">2024-02-07T12:43:21Z</dcterms:created>
  <dcterms:modified xsi:type="dcterms:W3CDTF">2026-10-19T09:23:58Z</dcterms:modified>
</cp:coreProperties>
</file>